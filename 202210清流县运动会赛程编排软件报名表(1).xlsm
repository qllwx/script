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0" windowWidth="20730" windowHeight="11760" tabRatio="735" activeTab="3"/>
  </bookViews>
  <sheets>
    <sheet name="小学组" sheetId="16" r:id="rId1"/>
    <sheet name="初中组" sheetId="17" r:id="rId2"/>
    <sheet name="高中组" sheetId="18" r:id="rId3"/>
    <sheet name="代表队名单" sheetId="33" r:id="rId4"/>
    <sheet name="报名汇总表" sheetId="32" r:id="rId5"/>
    <sheet name="径赛分道" sheetId="35" r:id="rId6"/>
    <sheet name="竞赛日程" sheetId="34" r:id="rId7"/>
    <sheet name="日程细目" sheetId="38" r:id="rId8"/>
    <sheet name="代表队报表" sheetId="36" r:id="rId9"/>
    <sheet name="检录表" sheetId="37" r:id="rId10"/>
  </sheets>
  <definedNames>
    <definedName name="_xlnm.Print_Area" localSheetId="2">高中组!$A$1:$N$38</definedName>
  </definedNames>
  <calcPr calcId="124519"/>
</workbook>
</file>

<file path=xl/calcChain.xml><?xml version="1.0" encoding="utf-8"?>
<calcChain xmlns="http://schemas.openxmlformats.org/spreadsheetml/2006/main">
  <c r="K23" i="32"/>
  <c r="M23" s="1"/>
  <c r="K24"/>
  <c r="M24" s="1"/>
  <c r="K25"/>
  <c r="M25" s="1"/>
  <c r="K26"/>
  <c r="M26"/>
  <c r="O26"/>
  <c r="R26" s="1"/>
  <c r="K27"/>
  <c r="M27"/>
  <c r="O27"/>
  <c r="K28"/>
  <c r="M28" s="1"/>
  <c r="K29"/>
  <c r="M29" s="1"/>
  <c r="L36"/>
  <c r="N36" s="1"/>
  <c r="K18"/>
  <c r="M18"/>
  <c r="L7"/>
  <c r="N7" s="1"/>
  <c r="K4"/>
  <c r="M4"/>
  <c r="K5"/>
  <c r="M5" s="1"/>
  <c r="L9"/>
  <c r="N9"/>
  <c r="P9" s="1"/>
  <c r="S9" s="1"/>
  <c r="C16" i="34"/>
  <c r="E16"/>
  <c r="F16"/>
  <c r="G16"/>
  <c r="G17"/>
  <c r="E13"/>
  <c r="K12" i="32"/>
  <c r="M12"/>
  <c r="K9"/>
  <c r="M9" s="1"/>
  <c r="K7"/>
  <c r="M7"/>
  <c r="R7" s="1"/>
  <c r="K46"/>
  <c r="M46" s="1"/>
  <c r="L18"/>
  <c r="N18"/>
  <c r="S18" s="1"/>
  <c r="C82" i="34"/>
  <c r="E82"/>
  <c r="F82"/>
  <c r="G82"/>
  <c r="C79"/>
  <c r="E79"/>
  <c r="F79"/>
  <c r="G79"/>
  <c r="C76"/>
  <c r="G64"/>
  <c r="G65"/>
  <c r="G66"/>
  <c r="F64"/>
  <c r="F65"/>
  <c r="F66"/>
  <c r="E66"/>
  <c r="E65"/>
  <c r="E64"/>
  <c r="E63"/>
  <c r="C66"/>
  <c r="C65"/>
  <c r="C64"/>
  <c r="C63"/>
  <c r="F63"/>
  <c r="G63"/>
  <c r="C56"/>
  <c r="E56"/>
  <c r="F56"/>
  <c r="G56"/>
  <c r="C53"/>
  <c r="E53"/>
  <c r="F53"/>
  <c r="G53"/>
  <c r="C50"/>
  <c r="E50"/>
  <c r="F50"/>
  <c r="G50"/>
  <c r="G42"/>
  <c r="G43"/>
  <c r="G44"/>
  <c r="G41"/>
  <c r="G37"/>
  <c r="G38"/>
  <c r="G39"/>
  <c r="F42"/>
  <c r="F43"/>
  <c r="F44"/>
  <c r="F41"/>
  <c r="F37"/>
  <c r="F38"/>
  <c r="F39"/>
  <c r="E44"/>
  <c r="E43"/>
  <c r="E42"/>
  <c r="E41"/>
  <c r="E39"/>
  <c r="E38"/>
  <c r="E37"/>
  <c r="C41"/>
  <c r="C42"/>
  <c r="C43"/>
  <c r="C44"/>
  <c r="C37"/>
  <c r="C38"/>
  <c r="C39"/>
  <c r="C46"/>
  <c r="G48"/>
  <c r="F48"/>
  <c r="E48"/>
  <c r="C48"/>
  <c r="C36"/>
  <c r="E36"/>
  <c r="F36"/>
  <c r="G36"/>
  <c r="E28"/>
  <c r="F28"/>
  <c r="G28"/>
  <c r="C28"/>
  <c r="E25"/>
  <c r="F25"/>
  <c r="G25"/>
  <c r="C25"/>
  <c r="E20"/>
  <c r="F20"/>
  <c r="G20"/>
  <c r="C20"/>
  <c r="C19"/>
  <c r="C67"/>
  <c r="G47"/>
  <c r="C45"/>
  <c r="C32"/>
  <c r="E32"/>
  <c r="F32"/>
  <c r="G32"/>
  <c r="G30"/>
  <c r="G31"/>
  <c r="F30"/>
  <c r="F31"/>
  <c r="E30"/>
  <c r="E31"/>
  <c r="C30"/>
  <c r="C31"/>
  <c r="D19"/>
  <c r="G18"/>
  <c r="F18"/>
  <c r="F17"/>
  <c r="E18"/>
  <c r="E17"/>
  <c r="C18"/>
  <c r="C17"/>
  <c r="G15"/>
  <c r="G14"/>
  <c r="G13"/>
  <c r="F15"/>
  <c r="F14"/>
  <c r="F13"/>
  <c r="E15"/>
  <c r="E14"/>
  <c r="C15"/>
  <c r="C14"/>
  <c r="E12"/>
  <c r="C13"/>
  <c r="C12"/>
  <c r="C6"/>
  <c r="C5"/>
  <c r="C4"/>
  <c r="L16" i="32"/>
  <c r="N16"/>
  <c r="S16" s="1"/>
  <c r="G1"/>
  <c r="Q1"/>
  <c r="T1"/>
  <c r="U1"/>
  <c r="V1"/>
  <c r="K2"/>
  <c r="M2"/>
  <c r="L2"/>
  <c r="N2" s="1"/>
  <c r="K3"/>
  <c r="M3"/>
  <c r="O3"/>
  <c r="R3" s="1"/>
  <c r="L3"/>
  <c r="N3"/>
  <c r="L4"/>
  <c r="N4" s="1"/>
  <c r="L5"/>
  <c r="N5"/>
  <c r="P5" s="1"/>
  <c r="K6"/>
  <c r="M6"/>
  <c r="O6" s="1"/>
  <c r="R6" s="1"/>
  <c r="L6"/>
  <c r="N6"/>
  <c r="K8"/>
  <c r="M8" s="1"/>
  <c r="L8"/>
  <c r="N8" s="1"/>
  <c r="L12"/>
  <c r="N12"/>
  <c r="P12"/>
  <c r="S12" s="1"/>
  <c r="K13"/>
  <c r="M13"/>
  <c r="O13"/>
  <c r="R13" s="1"/>
  <c r="L13"/>
  <c r="N13"/>
  <c r="P13"/>
  <c r="S13" s="1"/>
  <c r="K14"/>
  <c r="M14" s="1"/>
  <c r="K15"/>
  <c r="M15"/>
  <c r="L15"/>
  <c r="N15"/>
  <c r="S15" s="1"/>
  <c r="K16"/>
  <c r="M16" s="1"/>
  <c r="K17"/>
  <c r="M17" s="1"/>
  <c r="L17"/>
  <c r="N17" s="1"/>
  <c r="K19"/>
  <c r="M19" s="1"/>
  <c r="L19"/>
  <c r="N19" s="1"/>
  <c r="K22"/>
  <c r="M22"/>
  <c r="L22"/>
  <c r="N22"/>
  <c r="P22" s="1"/>
  <c r="L23"/>
  <c r="N23"/>
  <c r="P23"/>
  <c r="S23" s="1"/>
  <c r="L24"/>
  <c r="N24"/>
  <c r="P24"/>
  <c r="S24" s="1"/>
  <c r="L25"/>
  <c r="N25"/>
  <c r="L26"/>
  <c r="N26" s="1"/>
  <c r="L27"/>
  <c r="N27"/>
  <c r="P27"/>
  <c r="S27" s="1"/>
  <c r="L28"/>
  <c r="N28"/>
  <c r="L29"/>
  <c r="N29" s="1"/>
  <c r="K32"/>
  <c r="M32"/>
  <c r="O32"/>
  <c r="R32" s="1"/>
  <c r="L32"/>
  <c r="N32"/>
  <c r="P32"/>
  <c r="K33"/>
  <c r="M33" s="1"/>
  <c r="L33"/>
  <c r="N33" s="1"/>
  <c r="K34"/>
  <c r="M34" s="1"/>
  <c r="L34"/>
  <c r="N34" s="1"/>
  <c r="K35"/>
  <c r="M35"/>
  <c r="O35" s="1"/>
  <c r="L35"/>
  <c r="N35"/>
  <c r="K36"/>
  <c r="M36"/>
  <c r="K37"/>
  <c r="M37" s="1"/>
  <c r="L37"/>
  <c r="N37" s="1"/>
  <c r="K38"/>
  <c r="M38" s="1"/>
  <c r="L38"/>
  <c r="N38" s="1"/>
  <c r="K39"/>
  <c r="M39"/>
  <c r="O39"/>
  <c r="R39" s="1"/>
  <c r="L39"/>
  <c r="N39"/>
  <c r="K40"/>
  <c r="M40" s="1"/>
  <c r="L40"/>
  <c r="N40" s="1"/>
  <c r="K42"/>
  <c r="M42"/>
  <c r="O42"/>
  <c r="R42" s="1"/>
  <c r="L42"/>
  <c r="N42"/>
  <c r="P42"/>
  <c r="S42" s="1"/>
  <c r="K43"/>
  <c r="M43"/>
  <c r="O43"/>
  <c r="R43" s="1"/>
  <c r="L43"/>
  <c r="N43"/>
  <c r="K44"/>
  <c r="M44" s="1"/>
  <c r="L44"/>
  <c r="N44" s="1"/>
  <c r="K45"/>
  <c r="M45"/>
  <c r="L45"/>
  <c r="N45"/>
  <c r="P45" s="1"/>
  <c r="L46"/>
  <c r="N46"/>
  <c r="P46"/>
  <c r="S46" s="1"/>
  <c r="K47"/>
  <c r="M47"/>
  <c r="O47"/>
  <c r="R47" s="1"/>
  <c r="L47"/>
  <c r="N47" s="1"/>
  <c r="K48"/>
  <c r="M48" s="1"/>
  <c r="L48"/>
  <c r="N48" s="1"/>
  <c r="K49"/>
  <c r="M49" s="1"/>
  <c r="L49"/>
  <c r="N49"/>
  <c r="P49"/>
  <c r="S49" s="1"/>
  <c r="K50"/>
  <c r="M50" s="1"/>
  <c r="L50"/>
  <c r="N50"/>
  <c r="C3" i="34"/>
  <c r="E3"/>
  <c r="F3"/>
  <c r="G3"/>
  <c r="E4"/>
  <c r="F4"/>
  <c r="G4"/>
  <c r="E5"/>
  <c r="F5"/>
  <c r="G5"/>
  <c r="E6"/>
  <c r="F6"/>
  <c r="G6"/>
  <c r="C7"/>
  <c r="E7"/>
  <c r="F7"/>
  <c r="G7"/>
  <c r="C8"/>
  <c r="E8"/>
  <c r="F8"/>
  <c r="G8"/>
  <c r="C9"/>
  <c r="E9"/>
  <c r="F9"/>
  <c r="G9"/>
  <c r="C10"/>
  <c r="E10"/>
  <c r="F10"/>
  <c r="G10"/>
  <c r="C11"/>
  <c r="E11"/>
  <c r="F11"/>
  <c r="G11"/>
  <c r="F12"/>
  <c r="G12"/>
  <c r="E19"/>
  <c r="F19"/>
  <c r="G19"/>
  <c r="C21"/>
  <c r="E21"/>
  <c r="F21"/>
  <c r="G21"/>
  <c r="C22"/>
  <c r="E22"/>
  <c r="F22"/>
  <c r="G22"/>
  <c r="C23"/>
  <c r="E23"/>
  <c r="F23"/>
  <c r="G23"/>
  <c r="C24"/>
  <c r="E24"/>
  <c r="F24"/>
  <c r="G24"/>
  <c r="C26"/>
  <c r="E26"/>
  <c r="F26"/>
  <c r="G26"/>
  <c r="C27"/>
  <c r="E27"/>
  <c r="F27"/>
  <c r="G27"/>
  <c r="C29"/>
  <c r="E29"/>
  <c r="F29"/>
  <c r="G29"/>
  <c r="C34"/>
  <c r="E34"/>
  <c r="F34"/>
  <c r="G34"/>
  <c r="C35"/>
  <c r="E35"/>
  <c r="F35"/>
  <c r="G35"/>
  <c r="C40"/>
  <c r="E40"/>
  <c r="F40"/>
  <c r="G40"/>
  <c r="E45"/>
  <c r="F45"/>
  <c r="G45"/>
  <c r="E46"/>
  <c r="F46"/>
  <c r="G46"/>
  <c r="C47"/>
  <c r="E47"/>
  <c r="F47"/>
  <c r="C49"/>
  <c r="E49"/>
  <c r="F49"/>
  <c r="G49"/>
  <c r="C51"/>
  <c r="E51"/>
  <c r="F51"/>
  <c r="G51"/>
  <c r="C52"/>
  <c r="E52"/>
  <c r="F52"/>
  <c r="G52"/>
  <c r="C54"/>
  <c r="E54"/>
  <c r="F54"/>
  <c r="G54"/>
  <c r="C55"/>
  <c r="E55"/>
  <c r="F55"/>
  <c r="G55"/>
  <c r="C57"/>
  <c r="E57"/>
  <c r="F57"/>
  <c r="G57"/>
  <c r="C58"/>
  <c r="E58"/>
  <c r="F58"/>
  <c r="G58"/>
  <c r="C59"/>
  <c r="E59"/>
  <c r="F59"/>
  <c r="G59"/>
  <c r="C60"/>
  <c r="E60"/>
  <c r="F60"/>
  <c r="G60"/>
  <c r="C61"/>
  <c r="E61"/>
  <c r="F61"/>
  <c r="G61"/>
  <c r="C62"/>
  <c r="E62"/>
  <c r="F62"/>
  <c r="G62"/>
  <c r="E67"/>
  <c r="F67"/>
  <c r="G67"/>
  <c r="C68"/>
  <c r="E68"/>
  <c r="F68"/>
  <c r="G68"/>
  <c r="C69"/>
  <c r="E69"/>
  <c r="F69"/>
  <c r="G69"/>
  <c r="C70"/>
  <c r="E70"/>
  <c r="F70"/>
  <c r="G70"/>
  <c r="C71"/>
  <c r="E71"/>
  <c r="F71"/>
  <c r="G71"/>
  <c r="C72"/>
  <c r="E72"/>
  <c r="F72"/>
  <c r="G72"/>
  <c r="C73"/>
  <c r="E73"/>
  <c r="F73"/>
  <c r="G73"/>
  <c r="C74"/>
  <c r="E74"/>
  <c r="F74"/>
  <c r="G74"/>
  <c r="C75"/>
  <c r="E75"/>
  <c r="F75"/>
  <c r="G75"/>
  <c r="C77"/>
  <c r="E77"/>
  <c r="F77"/>
  <c r="G77"/>
  <c r="C78"/>
  <c r="E78"/>
  <c r="F78"/>
  <c r="G78"/>
  <c r="C80"/>
  <c r="E80"/>
  <c r="F80"/>
  <c r="G80"/>
  <c r="C81"/>
  <c r="E81"/>
  <c r="F81"/>
  <c r="G81"/>
  <c r="C83"/>
  <c r="E83"/>
  <c r="F83"/>
  <c r="G83"/>
  <c r="C84"/>
  <c r="E84"/>
  <c r="F84"/>
  <c r="G84"/>
  <c r="C85"/>
  <c r="E85"/>
  <c r="F85"/>
  <c r="G85"/>
  <c r="C86"/>
  <c r="E86"/>
  <c r="F86"/>
  <c r="G86"/>
  <c r="C87"/>
  <c r="E87"/>
  <c r="F87"/>
  <c r="G87"/>
  <c r="C88"/>
  <c r="E88"/>
  <c r="F88"/>
  <c r="G88"/>
  <c r="C89"/>
  <c r="E89"/>
  <c r="F89"/>
  <c r="G89"/>
  <c r="C90"/>
  <c r="E90"/>
  <c r="F90"/>
  <c r="G90"/>
  <c r="C91"/>
  <c r="E91"/>
  <c r="F91"/>
  <c r="G91"/>
  <c r="C92"/>
  <c r="E92"/>
  <c r="F92"/>
  <c r="G92"/>
  <c r="C93"/>
  <c r="E93"/>
  <c r="F93"/>
  <c r="G93"/>
  <c r="C94"/>
  <c r="E94"/>
  <c r="F94"/>
  <c r="G94"/>
  <c r="C95"/>
  <c r="E95"/>
  <c r="F95"/>
  <c r="G95"/>
  <c r="C96"/>
  <c r="E96"/>
  <c r="F96"/>
  <c r="G96"/>
  <c r="C97"/>
  <c r="E97"/>
  <c r="F97"/>
  <c r="G97"/>
  <c r="C98"/>
  <c r="E98"/>
  <c r="F98"/>
  <c r="G98"/>
  <c r="C99"/>
  <c r="E99"/>
  <c r="F99"/>
  <c r="G99"/>
  <c r="C100"/>
  <c r="E100"/>
  <c r="F100"/>
  <c r="G100"/>
  <c r="C101"/>
  <c r="E101"/>
  <c r="F101"/>
  <c r="G101"/>
  <c r="C102"/>
  <c r="E102"/>
  <c r="F102"/>
  <c r="G102"/>
  <c r="C103"/>
  <c r="E103"/>
  <c r="F103"/>
  <c r="G103"/>
  <c r="E104"/>
  <c r="F104"/>
  <c r="G104"/>
  <c r="E105"/>
  <c r="F105"/>
  <c r="G105"/>
  <c r="E106"/>
  <c r="F106"/>
  <c r="G106"/>
  <c r="E107"/>
  <c r="F107"/>
  <c r="G107"/>
  <c r="E108"/>
  <c r="F108"/>
  <c r="G108"/>
  <c r="E109"/>
  <c r="F109"/>
  <c r="G109"/>
  <c r="E110"/>
  <c r="F110"/>
  <c r="G110"/>
  <c r="E111"/>
  <c r="F111"/>
  <c r="G111"/>
  <c r="E112"/>
  <c r="F112"/>
  <c r="G112"/>
  <c r="E113"/>
  <c r="F113"/>
  <c r="G113"/>
  <c r="E114"/>
  <c r="F114"/>
  <c r="G114"/>
  <c r="O36" i="32"/>
  <c r="R36"/>
  <c r="S32"/>
  <c r="P6"/>
  <c r="S6" s="1"/>
  <c r="O2"/>
  <c r="R2" s="1"/>
  <c r="O7"/>
  <c r="P16"/>
  <c r="P18"/>
  <c r="P25"/>
  <c r="S25" s="1"/>
  <c r="P15"/>
  <c r="P39"/>
  <c r="S39"/>
  <c r="P3"/>
  <c r="S3" s="1"/>
  <c r="P28"/>
  <c r="S28"/>
  <c r="P43"/>
  <c r="S43" s="1"/>
  <c r="R27"/>
  <c r="S44" l="1"/>
  <c r="P44"/>
  <c r="O19"/>
  <c r="R19" s="1"/>
  <c r="R50"/>
  <c r="O50"/>
  <c r="O49"/>
  <c r="R49" s="1"/>
  <c r="R40"/>
  <c r="O40"/>
  <c r="S37"/>
  <c r="P37"/>
  <c r="P34"/>
  <c r="S34" s="1"/>
  <c r="P26"/>
  <c r="S26" s="1"/>
  <c r="O17"/>
  <c r="R17" s="1"/>
  <c r="S8"/>
  <c r="P8"/>
  <c r="S4"/>
  <c r="P4"/>
  <c r="R46"/>
  <c r="O46"/>
  <c r="P36"/>
  <c r="S36" s="1"/>
  <c r="P47"/>
  <c r="S47" s="1"/>
  <c r="R44"/>
  <c r="O44"/>
  <c r="S40"/>
  <c r="P40"/>
  <c r="R38"/>
  <c r="O38"/>
  <c r="O33"/>
  <c r="R33" s="1"/>
  <c r="P17"/>
  <c r="S17" s="1"/>
  <c r="R9"/>
  <c r="O9"/>
  <c r="R23"/>
  <c r="O23"/>
  <c r="S35"/>
  <c r="R12"/>
  <c r="O48"/>
  <c r="R48" s="1"/>
  <c r="P38"/>
  <c r="S38"/>
  <c r="P33"/>
  <c r="S33" s="1"/>
  <c r="P29"/>
  <c r="S29" s="1"/>
  <c r="O14"/>
  <c r="R14" s="1"/>
  <c r="P2"/>
  <c r="S2" s="1"/>
  <c r="R5"/>
  <c r="O5"/>
  <c r="O28"/>
  <c r="R28"/>
  <c r="R24"/>
  <c r="O24"/>
  <c r="P48"/>
  <c r="S48"/>
  <c r="R37"/>
  <c r="O37"/>
  <c r="O34"/>
  <c r="R34"/>
  <c r="S19"/>
  <c r="P19"/>
  <c r="O16"/>
  <c r="R16"/>
  <c r="R8"/>
  <c r="L14"/>
  <c r="N14" s="1"/>
  <c r="O8"/>
  <c r="S7"/>
  <c r="P7"/>
  <c r="O29"/>
  <c r="R29" s="1"/>
  <c r="R25"/>
  <c r="O25"/>
  <c r="O45"/>
  <c r="R45" s="1"/>
  <c r="O22"/>
  <c r="R22" s="1"/>
  <c r="O15"/>
  <c r="R15" s="1"/>
  <c r="O18"/>
  <c r="R18" s="1"/>
  <c r="O12"/>
  <c r="O4"/>
  <c r="R4" s="1"/>
  <c r="P50"/>
  <c r="S50" s="1"/>
  <c r="R35"/>
  <c r="S5"/>
  <c r="S22"/>
  <c r="S45"/>
  <c r="P35"/>
  <c r="P14" l="1"/>
  <c r="S14" s="1"/>
</calcChain>
</file>

<file path=xl/sharedStrings.xml><?xml version="1.0" encoding="utf-8"?>
<sst xmlns="http://schemas.openxmlformats.org/spreadsheetml/2006/main" count="8166" uniqueCount="2589">
  <si>
    <t>1112,余梦琪,实验小学1|1123,叶欣颖,实验小学2|1131,蓝歆源,城关小学１|1141,林智玲,城关小学２|1302,陈舒菲,嵩溪中小|1601,余  静,嵩口中小|1503,李清钰,长校中小|1203,黄诗涵,灵地中小|1182,沈丽香,赖坊中小|1194,黄雨鑫,田源中小|1271,邓丁香,邓家小学|1274,黄艳男,邓家小学|1213,李梦瑶,李家中小|1221,赖银湘,沙芜中小|1233,邱紫欣,林畲中小|1234,孙诗雅,林畲中小|1241,温淑仪,温郊中小|1251,沈  敏,余朋中小|1264,廖聘涓,里田中小|1294,赖婉钰,屏山小学1|1281,邹佳慧,屏山小学2|</t>
    <phoneticPr fontId="9" type="noConversion"/>
  </si>
  <si>
    <t>1114,程  曦,实验小学1|1122,周乐妍,实验小学2|1134,魏烨榕,城关小学１|1143,晏紫妍,城关小学２|1304,阳钰婷,嵩溪中小|1604,黄慧柃,嵩口中小|1608,,嵩口中小|1504,江春梅,长校中小|1202,罗妍茜,灵地中小|1184,林伊敏,赖坊中小|1192,翁可欣,田源中小|1211,王斯瑶,李家中小|1222,赖思怡,沙芜中小|1234,孙诗雅,林畲中小|1244,温欣怡,温郊中小|1253,陈思语,余朋中小|1263,罗如清,里田中小|1291,康琳娜,屏山小学1|1284,李  欣,屏山小学2|</t>
    <phoneticPr fontId="9" type="noConversion"/>
  </si>
  <si>
    <t>男子</t>
    <phoneticPr fontId="9" type="noConversion"/>
  </si>
  <si>
    <t>女子</t>
    <phoneticPr fontId="9" type="noConversion"/>
  </si>
  <si>
    <t>3118,童家熙,清流一中1|312b,赖志杰,清流一中2|313a,邓  楠,清流一中3|313c,李  阳,清流一中3|3217,邱睿泽,清流职中1|3218,彭毅彬,清流职中1|3229,曹胜豪,清流职中2|322a,上官天浩,清流职中2|</t>
    <phoneticPr fontId="9" type="noConversion"/>
  </si>
  <si>
    <t>3111,罗秀芳,清流一中1|3112,江美遐,清流一中1|3123,陈欣炎,清流一中2|3133,罗洪敏,清流一中3|3213,张凤玉,清流职中1|3216,张  婷,清流职中1|</t>
    <phoneticPr fontId="9" type="noConversion"/>
  </si>
  <si>
    <t>1116,葛东炜,实验小学1|1127,李佳翃,实验小学2|1136,胡旭尧,城关小学１|1145,邱恩祺,城关小学２|1307,黄绍杰,嵩溪中小|1605,魏王涛,嵩口中小|1506,李焱祖,长校中小|1205,黄俊豪,灵地中小|1185,上官灿彬,赖坊中小|1198,俞恒椿,田源中小|1277,赵沙林,邓家小学|1217,李新荣,李家中小|1237,邱鹏宁,林畲中小|1238,邱浩宇,林畲中小|1247,温晓坤,温郊中小|1255,陈健斌,余朋中小|1268,桂泓请,里田中小|1297,陈旭明,屏山小学1|1285,董张琪,屏山小学2|</t>
    <phoneticPr fontId="9" type="noConversion"/>
  </si>
  <si>
    <t>1111,马紫涵,实验小学1|1121,彭  乐,实验小学2|1131,蓝歆源,城关小学１|1141,林智玲,城关小学２|1302,陈舒菲,嵩溪中小|1601,余  静,嵩口中小|1503,李清钰,长校中小|1201,黄紫梅,灵地中小|1183,赖香花,赖坊中小|1191,廖以菲,田源中小|1271,邓丁香,邓家小学|1213,李梦瑶,李家中小|1241,温淑仪,温郊中小|1251,沈  敏,余朋中小|1264,廖聘涓,里田中小|1294,赖婉钰,屏山小学1|1281,邹佳慧,屏山小学2|</t>
    <phoneticPr fontId="9" type="noConversion"/>
  </si>
  <si>
    <t>1117,马晟杰,实验小学1|1128,王思杰,实验小学2|1135,李博威,城关小学１|1148,黄晓宇,城关小学２|1305,余翔天,嵩溪中小|1606,罗子豪,嵩口中小|1508,江文峰,长校中小|1206,黄文荣,灵地中小|1187,吴佳乐,赖坊中小|1195,吴新炜,田源中小|1276,叶志伟,邓家小学|1216,邹水林,李家中小|1225,陈祥滨,沙芜中小|1235,邱晨奕,林畲中小|1237,邱鹏宁,林畲中小|1246,温立涵,温郊中小|1257,江云烨,余朋中小|1265,廖  俊,里田中小|1295,魏林炜,屏山小学1|1286,毛  宁,屏山小学2|</t>
    <phoneticPr fontId="9" type="noConversion"/>
  </si>
  <si>
    <t>1113,邱雨轩,实验小学1|1123,叶欣颖,实验小学2|1132,曹李峥,城关小学１|1142,张煜玲,城关小学２|1301,巫冰倩,嵩溪中小|1602,黄雨宸,嵩口中小|1501,廖  敏,长校中小|1502,谢小海,长校中小|1203,黄诗涵,灵地中小|1182,沈丽香,赖坊中小|1273,马依林,邓家小学|1212,林可儿,李家中小|1221,赖银湘,沙芜中小|1224,,沙芜中小|1242,温家乐,温郊中小|1252,巫程曦,余朋中小|1262,罗  青,里田中小|1293,伍智慧,屏山小学1|1283,吴伊涵,屏山小学2|</t>
    <phoneticPr fontId="9" type="noConversion"/>
  </si>
  <si>
    <t>1116,葛东炜,实验小学1|1127,李佳翃,实验小学2|1136,胡旭尧,城关小学１|1145,邱恩祺,城关小学２|1306,吴辉煌,嵩溪中小|1605,魏王涛,嵩口中小|1506,李焱祖,长校中小|1205,黄俊豪,灵地中小|1187,吴佳乐,赖坊中小|1196,阳圣杰,田源中小|1277,赵沙林,邓家小学|1217,李新荣,李家中小|1247,温晓坤,温郊中小|1255,陈健斌,余朋中小|1267,凌朝毅,里田中小|1297,陈旭明,屏山小学1|1286,毛  宁,屏山小学2|</t>
    <phoneticPr fontId="9" type="noConversion"/>
  </si>
  <si>
    <t>1117,马晟杰,实验小学1|1135,李博威,城关小学１|1148,黄晓宇,城关小学２|1305,余翔天,嵩溪中小|1606,罗子豪,嵩口中小|1206,黄文荣,灵地中小|1207,黄佳杰,灵地中小|1186,上官裕,赖坊中小|1276,叶志伟,邓家小学|1216,邹水林,李家中小|1238,邱浩宇,林畲中小|1246,温立涵,温郊中小|1257,江云烨,余朋中小|1265,廖  俊,里田中小|1295,魏林炜,屏山小学1|1285,董张琪,屏山小学2|</t>
    <phoneticPr fontId="9" type="noConversion"/>
  </si>
  <si>
    <t>1113,邱雨轩,实验小学1|1124,李佳悦,实验小学2|1132,曹李峥,城关小学１|1142,张煜玲,城关小学２|1301,巫冰倩,嵩溪中小|1602,黄雨宸,嵩口中小|1183,赖香花,赖坊中小|1273,马依林,邓家小学|1212,林可儿,李家中小|1224,,沙芜中小|1233,邱紫欣,林畲中小|1242,温家乐,温郊中小|1254,陈桂花,余朋中小|1262,罗  青,里田中小|1293,伍智慧,屏山小学1|1283,吴伊涵,屏山小学2|</t>
    <phoneticPr fontId="9" type="noConversion"/>
  </si>
  <si>
    <t>1115,马健玮,实验小学1|1126,余宣昱,实验小学2|1137,廖景涵,城关小学１|1146,邹林烨,城关小学２|1308,肖  斌,嵩溪中小|1607,张小明,嵩口中小|1505,李天彦,长校中小|1188,黄伟强,赖坊中小|1278,马肇政,邓家小学|1218,李龙杰,李家中小|1226,严帆远,沙芜中小|1248,曾海根,温郊中小|1256,黄承彬,余朋中小|1268,桂泓请,里田中小|1296,刘子明,屏山小学1|1287,邹烨煌,屏山小学2|</t>
    <phoneticPr fontId="9" type="noConversion"/>
  </si>
  <si>
    <t>1112,余梦琪,实验小学1|1121,彭  乐,实验小学2|1133,曹彦妮,城关小学１|1144,林雨彤,城关小学２|1303,邓佳洁,嵩溪中小|1603,廖佳怡,嵩口中小|1501,廖  敏,长校中小|1201,黄紫梅,灵地中小|1181,林宇欢,赖坊中小|1272,邓凌玉,邓家小学|1214,李慧茹,李家中小|1223,刘忆婷,沙芜中小|1231,官雅琪,林畲中小|1232,杨春嵘,林畲中小|1243,王金妍,温郊中小|1252,巫程曦,余朋中小|1261,罗佳怡,里田中小|1292,赖欣怡,屏山小学1|1282,邓欣瑶,屏山小学2|</t>
    <phoneticPr fontId="9" type="noConversion"/>
  </si>
  <si>
    <t>1115,马健玮,实验小学1|1126,余宣昱,实验小学2|1128,王思杰,实验小学2|1137,廖景涵,城关小学１|1146,邹林烨,城关小学２|1308,肖  斌,嵩溪中小|1607,张小明,嵩口中小|1505,李天彦,长校中小|1508,江文峰,长校中小|1186,上官裕,赖坊中小|1278,马肇政,邓家小学|1218,李龙杰,李家中小|1225,陈祥滨,沙芜中小|1227,黄将鸿,沙芜中小|1245,黄子凌,温郊中小|1256,黄承彬,余朋中小|1266,廖宇忠,里田中小|1296,刘子明,屏山小学1|1287,邹烨煌,屏山小学2|</t>
    <phoneticPr fontId="9" type="noConversion"/>
  </si>
  <si>
    <t>1111,马紫涵,实验小学1|1133,曹彦妮,城关小学１|1144,林雨彤,城关小学２|1303,邓佳洁,嵩溪中小|1603,廖佳怡,嵩口中小|1202,罗妍茜,灵地中小|1181,林宇欢,赖坊中小|1272,邓凌玉,邓家小学|1214,李慧茹,李家中小|1223,刘忆婷,沙芜中小|1231,官雅琪,林畲中小|1232,杨春嵘,林畲中小|1243,王金妍,温郊中小|1254,陈桂花,余朋中小|1261,罗佳怡,里田中小|1292,赖欣怡,屏山小学1|1282,邓欣瑶,屏山小学2|</t>
    <phoneticPr fontId="9" type="noConversion"/>
  </si>
  <si>
    <t>1118,罗涌林,实验小学1|1125,邱建辉,实验小学2|1138,巫瀚岚,城关小学１|1147,向  毅,城关小学２|1306,吴辉煌,嵩溪中小|1507,江  浩,长校中小|1208,黄俊涛,灵地中小|1185,上官灿彬,赖坊中小|1198,俞恒椿,田源中小|1275,邓  晨,邓家小学|1215,邹  霖,李家中小|1227,黄将鸿,沙芜中小|1235,邱晨奕,林畲中小|1236,邱煜阳,林畲中小|1248,曾海根,温郊中小|1258,兰聪杰,余朋中小|1267,凌朝毅,里田中小|1298,邹林润,屏山小学1|1288,巫烨伟,屏山小学2|</t>
    <phoneticPr fontId="9" type="noConversion"/>
  </si>
  <si>
    <t>1114,程  曦,实验小学1|1122,周乐妍,实验小学2|1134,魏烨榕,城关小学１|1143,晏紫妍,城关小学２|1304,阳钰婷,嵩溪中小|1604,黄慧柃,嵩口中小|1608,,嵩口中小|1504,江春梅,长校中小|1204,李小清,灵地中小|1184,林伊敏,赖坊中小|1193,陈梦琳,田源中小|1274,黄艳男,邓家小学|1211,王斯瑶,李家中小|1222,赖思怡,沙芜中小|1244,温欣怡,温郊中小|1253,陈思语,余朋中小|1263,罗如清,里田中小|1291,康琳娜,屏山小学1|1284,李  欣,屏山小学2|</t>
    <phoneticPr fontId="9" type="noConversion"/>
  </si>
  <si>
    <t>1118,罗涌林,实验小学1|1125,邱建辉,实验小学2|1138,巫瀚岚,城关小学１|1147,向  毅,城关小学２|1307,黄绍杰,嵩溪中小|1507,江  浩,长校中小|1207,黄佳杰,灵地中小|1208,黄俊涛,灵地中小|1188,黄伟强,赖坊中小|1197,陈景霖,田源中小|1275,邓  晨,邓家小学|1215,邹  霖,李家中小|1226,严帆远,沙芜中小|1236,邱煜阳,林畲中小|1245,黄子凌,温郊中小|1258,兰聪杰,余朋中小|1266,廖宇忠,里田中小|1298,邹林润,屏山小学1|1288,巫烨伟,屏山小学2|</t>
    <phoneticPr fontId="9" type="noConversion"/>
  </si>
  <si>
    <t>1196,阳圣杰,田源中小|</t>
    <phoneticPr fontId="9" type="noConversion"/>
  </si>
  <si>
    <t>1204,李小清,灵地中小|1228,,沙芜中小|</t>
    <phoneticPr fontId="9" type="noConversion"/>
  </si>
  <si>
    <t>男子</t>
    <phoneticPr fontId="9" type="noConversion"/>
  </si>
  <si>
    <t>女子</t>
    <phoneticPr fontId="9" type="noConversion"/>
  </si>
  <si>
    <t>2417,林煜阳,城关中学1|2427,罗鑫斌,城关中学2|243b,罗财智,城关中学3|2519,温何辉,实验中学1|252a,余一鸣,实验中学2|2538,陈国伟,实验中学3|253b,魏林生,实验中学3|2219,李佳泓,一中初中|221a,杜孝行,一中初中|</t>
    <phoneticPr fontId="9" type="noConversion"/>
  </si>
  <si>
    <t>2411,叶  婷,城关中学1|2413,罗烨梅,城关中学1|2421,朱雨婷,城关中学2|2422,李  薇,城关中学2|2433,陈  蕾,城关中学3|2435,蔡钦妍,城关中学3|2513,雷乐星,实验中学1|2515,荚艳婷,实验中学1|2521,肖诗玮,实验中学2|2523,江佳丽,实验中学2|2531,熊  洁,实验中学3|2212,沈雨欣,一中初中|</t>
    <phoneticPr fontId="9" type="noConversion"/>
  </si>
  <si>
    <t>2417,林煜阳,城关中学1|2427,罗鑫斌,城关中学2|243b,罗财智,城关中学3|2519,温何辉,实验中学1|251b,陈培源,实验中学1|252a,余一鸣,实验中学2|2538,陈国伟,实验中学3|253b,魏林生,实验中学3|221a,杜孝行,一中初中|</t>
    <phoneticPr fontId="9" type="noConversion"/>
  </si>
  <si>
    <t>2411,叶  婷,城关中学1|2413,罗烨梅,城关中学1|2421,朱雨婷,城关中学2|2422,李  薇,城关中学2|2433,陈  蕾,城关中学3|2435,蔡钦妍,城关中学3|2515,荚艳婷,实验中学1|2521,肖诗玮,实验中学2|2523,江佳丽,实验中学2|2531,熊  洁,实验中学3|2212,沈雨欣,一中初中|2215,赖思涵,一中初中|</t>
    <phoneticPr fontId="9" type="noConversion"/>
  </si>
  <si>
    <t>2418,张嘉伟,城关中学1|2429,黄平彬,城关中学2|242c,严黄椿,城关中学2|2437,吴联辉,城关中学3|2438,廖林斌,城关中学3|251c,张俊伟,实验中学1|2527,俞卓熙,实验中学2|252b,张文杰,实验中学2|2539,李佳昊,实验中学3|253c,邱春源,实验中学3|2217,廖家烨,一中初中|</t>
    <phoneticPr fontId="9" type="noConversion"/>
  </si>
  <si>
    <t>2412,吴宇欣,城关中学1|2415,黄有彬,城关中学1|2424,罗  祺,城关中学2|2431,赖宝怡,城关中学3|2511,王  婷,实验中学1|2513,雷乐星,实验中学1|2522,黄思涵,实验中学2|2533,黄素秋,实验中学3|2211,邱文丽,一中初中|2214,罗林浠,一中初中|</t>
    <phoneticPr fontId="9" type="noConversion"/>
  </si>
  <si>
    <t>2419,刘锦鸿,城关中学1|241c,林宇杭,城关中学1|2428,罗海斌,城关中学2|242a,邹  墨,城关中学2|2439,江鉴雨,城关中学3|243a,赖英林,城关中学3|2517,陈铭伟,实验中学1|2518,邱智涛,实验中学1|2528,李佳凌,实验中学2|253a,温嘉豪,实验中学3|2218,李佳勇,一中初中|</t>
    <phoneticPr fontId="9" type="noConversion"/>
  </si>
  <si>
    <t>2416,王思雨,城关中学1|2423,罗阳阳,城关中学2|2434,邱欣怡,城关中学3|2512,赖雅琴,实验中学1|2525,吴雯君,实验中学2|2526,邹思涵,实验中学2|2534,江雅琪,实验中学3|2535,季锦萍,实验中学3|2213,江欣怡,一中初中|2215,赖思涵,一中初中|</t>
    <phoneticPr fontId="9" type="noConversion"/>
  </si>
  <si>
    <t>2419,刘锦鸿,城关中学1|241c,林宇杭,城关中学1|2428,罗海斌,城关中学2|242a,邹  墨,城关中学2|2439,江鉴雨,城关中学3|243a,赖英林,城关中学3|2517,陈铭伟,实验中学1|2518,邱智涛,实验中学1|2528,李佳凌,实验中学2|253a,温嘉豪,实验中学3|2218,李佳勇,一中初中|2219,李佳泓,一中初中|</t>
    <phoneticPr fontId="9" type="noConversion"/>
  </si>
  <si>
    <t>2416,王思雨,城关中学1|2423,罗阳阳,城关中学2|2434,邱欣怡,城关中学3|2512,赖雅琴,实验中学1|2525,吴雯君,实验中学2|2526,邹思涵,实验中学2|2534,江雅琪,实验中学3|2535,季锦萍,实验中学3|2213,江欣怡,一中初中|</t>
    <phoneticPr fontId="9" type="noConversion"/>
  </si>
  <si>
    <t>241a,罗志豪,城关中学1|241b,吴钰龙,城关中学1|242b,陈流发,城关中学2|243c,李剑鸿,城关中学3|251a,张孔杰,实验中学1|2529,张诚坤,实验中学2|252c,刘泽学,实验中学2|2537,伍羿轩,实验中学3|221b,廖鸿涛,一中初中|221c,邹立涌,一中初中|</t>
    <phoneticPr fontId="9" type="noConversion"/>
  </si>
  <si>
    <t>2414,林佳妍,城关中学1|2425,赖丽华,城关中学2|2426,陈  欣,城关中学2|2432,罗雅馨,城关中学3|2436,陈佳欣,城关中学3|2514,樊  阳,实验中学1|2516,孙慧群,实验中学1|2524,黄彬彬,实验中学2|2532,江海芳,实验中学3|2536,黄爱凤,实验中学3|2216,李晨欣,一中初中|</t>
    <phoneticPr fontId="9" type="noConversion"/>
  </si>
  <si>
    <t>241,,城关中学1|241,,城关中学1|241,,城关中学1|241,,城关中学1|242,,城关中学2|242,,城关中学2|242,,城关中学2|242,,城关中学2|243,,城关中学3|243,,城关中学3|243,,城关中学3|243,,城关中学3|251,,实验中学1|251,,实验中学1|251,,实验中学1|251,,实验中学1|252,,实验中学2|252,,实验中学2|252,,实验中学2|252,,实验中学2|253,,实验中学3|253,,实验中学3|253,,实验中学3|253,,实验中学3|221,,一中初中|221,,一中初中|221,,一中初中|221,,一中初中|</t>
    <phoneticPr fontId="9" type="noConversion"/>
  </si>
  <si>
    <t>3119,林  鑫,清流一中1|3127,雷思航,清流一中2|3128,严  杰,清流一中2|3137,周玉川,清流一中3|313b,林胜章,清流一中3|321b,江  浩,清流职中1|321c,陈鹏辉,清流职中1|3227,罗  伟,清流职中2|</t>
    <phoneticPr fontId="9" type="noConversion"/>
  </si>
  <si>
    <t>3111,罗秀芳,清流一中1|3113,吴闽琳,清流一中1|3122,上官欣虹,清流一中2|3133,罗洪敏,清流一中3|3214,陈淑雯,清流职中1|</t>
    <phoneticPr fontId="9" type="noConversion"/>
  </si>
  <si>
    <t>3119,林  鑫,清流一中1|311b,江宗锦,清流一中1|3129,赖  荣,清流一中2|3137,周玉川,清流一中3|3139,赖治坤,清流一中3|3219,温余丞,清流职中1|322b,肖  智,清流职中2|</t>
    <phoneticPr fontId="9" type="noConversion"/>
  </si>
  <si>
    <t>3113,吴闽琳,清流一中1|3121,赖沐君,清流一中2|3125,王露瑶,清流一中2|3135,赖晓敏,清流一中3|3211,罗馨婷,清流职中1|3215,张  慧,清流职中1|3222,邓  洁,清流职中2|3223,赖小花,清流职中2|</t>
    <phoneticPr fontId="9" type="noConversion"/>
  </si>
  <si>
    <t>3117,赖金涛,清流一中1|3129,赖  荣,清流一中2|312a,林善伟,清流一中2|3138,曾庆宏,清流一中3|3219,温余丞,清流职中1|321b,江  浩,清流职中1|322b,肖  智,清流职中2|322c,汤锣凤,清流职中2|</t>
    <phoneticPr fontId="9" type="noConversion"/>
  </si>
  <si>
    <t>3115,魏玉婷,清流一中1|3116,霍思雅,清流一中1|3126,严筱祈,清流一中2|3132,罗舒涵,清流一中3|3134,吴慧娟,清流一中3|3216,张  婷,清流职中1|3223,赖小花,清流职中2|</t>
    <phoneticPr fontId="9" type="noConversion"/>
  </si>
  <si>
    <t>3117,赖金涛,清流一中1|311b,江宗锦,清流一中1|312a,林善伟,清流一中2|312c,陈  磊,清流一中2|3138,曾庆宏,清流一中3|3217,邱睿泽,清流职中1|322a,上官天浩,清流职中2|322c,汤锣凤,清流职中2|</t>
    <phoneticPr fontId="9" type="noConversion"/>
  </si>
  <si>
    <t>3115,魏玉婷,清流一中1|3126,严筱祈,清流一中2|3132,罗舒涵,清流一中3|3134,吴慧娟,清流一中3|3211,罗馨婷,清流职中1|3213,张凤玉,清流职中1|3224,赖佳敏,清流职中2|3226,赵雪花,清流职中2|</t>
    <phoneticPr fontId="9" type="noConversion"/>
  </si>
  <si>
    <t>311a,林开源,清流一中1|311c,赖旭凯,清流一中1|3127,雷思航,清流一中2|313c,李  阳,清流一中3|3218,彭毅彬,清流职中1|321c,陈鹏辉,清流职中1|3229,曹胜豪,清流职中2|</t>
    <phoneticPr fontId="9" type="noConversion"/>
  </si>
  <si>
    <t>3114,荚文芳,清流一中1|3122,上官欣虹,清流一中2|3124,廖佳怡,清流一中2|3136,赵宇桢,清流一中3|3215,张  慧,清流职中1|3221,上官贞,清流职中2|3225,涂淇娜,清流职中2|</t>
    <phoneticPr fontId="9" type="noConversion"/>
  </si>
  <si>
    <t>3114,荚文芳,清流一中1|3116,霍思雅,清流一中1|3124,廖佳怡,清流一中2|3125,王露瑶,清流一中2|3131,李雯钰,清流一中3|3212,邹  慧,清流职中1|3222,邓  洁,清流职中2|3226,赵雪花,清流职中2|</t>
    <phoneticPr fontId="9" type="noConversion"/>
  </si>
  <si>
    <t>3118,童家熙,清流一中1|311a,林开源,清流一中1|312b,赖志杰,清流一中2|313a,邓  楠,清流一中3|321a,罗清平,清流职中1|3227,罗  伟,清流职中2|3228,陈浩斌,清流职中2|</t>
    <phoneticPr fontId="9" type="noConversion"/>
  </si>
  <si>
    <t>3112,江美遐,清流一中1|3121,赖沐君,清流一中2|3123,陈欣炎,清流一中2|3131,李雯钰,清流一中3|3135,赖晓敏,清流一中3|3136,赵宇桢,清流一中3|3212,邹  慧,清流职中1|3214,陈淑雯,清流职中1|3221,上官贞,清流职中2|3224,赖佳敏,清流职中2|3225,涂淇娜,清流职中2|</t>
    <phoneticPr fontId="9" type="noConversion"/>
  </si>
  <si>
    <t>311c,赖旭凯,清流一中1|3128,严  杰,清流一中2|312c,陈  磊,清流一中2|3139,赖治坤,清流一中3|313b,林胜章,清流一中3|321a,罗清平,清流职中1|3228,陈浩斌,清流职中2|</t>
    <phoneticPr fontId="9" type="noConversion"/>
  </si>
  <si>
    <t>311,,清流一中1|311,,清流一中1|311,,清流一中1|311,,清流一中1|312,,清流一中2|312,,清流一中2|312,,清流一中2|312,,清流一中2|313,,清流一中3|313,,清流一中3|313,,清流一中3|313,,清流一中3|321,,清流职中1|321,,清流职中1|321,,清流职中1|321,,清流职中1|322,,清流职中2|322,,清流职中2|322,,清流职中2|322,,清流职中2|</t>
    <phoneticPr fontId="9" type="noConversion"/>
  </si>
  <si>
    <t>垒球</t>
    <phoneticPr fontId="9" type="noConversion"/>
  </si>
  <si>
    <t>200米</t>
    <phoneticPr fontId="9" type="noConversion"/>
  </si>
  <si>
    <t>400米</t>
    <phoneticPr fontId="9" type="noConversion"/>
  </si>
  <si>
    <t>实心球</t>
    <phoneticPr fontId="9" type="noConversion"/>
  </si>
  <si>
    <t xml:space="preserve">  实验   城关   城关   嵩溪   嵩溪   嵩口   灵地   赖坊   邓家   李家   沙芜   林畲   林畲   温郊   余朋   里田   屏山   屏山 </t>
  </si>
  <si>
    <t xml:space="preserve">  1118   1125   1138   1147   1507   1207   1208   1188   1197   1215   1226   1236   1245   1258   1266   1298   1288 </t>
  </si>
  <si>
    <t xml:space="preserve"> 罗涌林 邱建辉 巫瀚岚 向  毅 江  浩 黄佳杰 黄俊涛 黄伟强 陈景霖 邹  霖 严帆远 邱煜阳 黄子凌 兰聪杰 廖宇忠 邹林润 巫烨伟</t>
  </si>
  <si>
    <t xml:space="preserve">  实验   实验   城关   城关   长校   灵地   灵地   赖坊   田源   李家   沙芜   林畲   温郊   余朋   里田   屏山   屏山 </t>
  </si>
  <si>
    <t xml:space="preserve">  3111   3112   3123   3133   3213   3216 </t>
  </si>
  <si>
    <t xml:space="preserve"> 罗秀芳 江美遐 陈欣炎 罗洪敏 张凤玉 张  婷</t>
  </si>
  <si>
    <t xml:space="preserve">  一中   一中   一中   一中   职中   职中 </t>
  </si>
  <si>
    <t>4、高中男子铅球预决赛7人1组取前6名          10:45</t>
    <phoneticPr fontId="9" type="noConversion"/>
  </si>
  <si>
    <t xml:space="preserve">  311c   3128   312c   3139   313b   321a   3228 </t>
  </si>
  <si>
    <t xml:space="preserve"> 赖旭凯 严  杰 陈  磊 赖治坤 林胜章 罗清平 陈浩斌</t>
  </si>
  <si>
    <t xml:space="preserve">  一中   一中   一中   一中   一中   职中   职中 </t>
  </si>
  <si>
    <t>温余丞</t>
    <phoneticPr fontId="9" type="noConversion"/>
  </si>
  <si>
    <t>肖  智</t>
    <phoneticPr fontId="9" type="noConversion"/>
  </si>
  <si>
    <t xml:space="preserve">  3119   311b   3129   3137   3139   3219   322b </t>
  </si>
  <si>
    <t xml:space="preserve"> 林  鑫 江宗锦 赖  荣 周玉川 赖治坤 温余丞 肖  智</t>
  </si>
  <si>
    <t>张  婷</t>
    <phoneticPr fontId="9" type="noConversion"/>
  </si>
  <si>
    <t>赖小花</t>
    <phoneticPr fontId="9" type="noConversion"/>
  </si>
  <si>
    <t xml:space="preserve">  3115   3116   3126   3132   3134   3216   3223 </t>
  </si>
  <si>
    <t xml:space="preserve"> 魏玉婷 霍思雅 严筱祈 罗舒涵 吴慧娟 张  婷 赖小花</t>
  </si>
  <si>
    <t xml:space="preserve">  1117   1135   1148   1606   1206   1207   1186   1276   1216   1238   1246   1257   1265   1295   1285 </t>
  </si>
  <si>
    <t xml:space="preserve"> 马晟杰 李博威 黄晓宇 罗子豪 黄文荣 黄佳杰 上官裕 叶志伟 邹水林 邱浩宇 温立涵 江云烨 廖  俊 魏林炜 董张琪</t>
  </si>
  <si>
    <t xml:space="preserve">  实验   城关   城关   嵩口   灵地   灵地   赖坊   邓家   李家   林畲   温郊   余朋   里田   屏山   屏山 </t>
  </si>
  <si>
    <t xml:space="preserve">  2416   2423   2434   2512   2525   2526   2534   2535   2213 </t>
  </si>
  <si>
    <t xml:space="preserve"> 王思雨 罗阳阳 邱欣怡 赖雅琴 吴雯君 邹思涵 江雅琪 季锦萍 江欣怡</t>
  </si>
  <si>
    <t xml:space="preserve">  城关   城关   城关   实验   实验   实验   实验   实验   一中 </t>
  </si>
  <si>
    <t xml:space="preserve">  1115   1126   1137   1146   1607   1505   1188   1278   1218   1226   1248   1256   1268   1296   1287 </t>
  </si>
  <si>
    <t xml:space="preserve"> 马健玮 余宣昱 廖景涵 邹林烨 张小明 李天彦 黄伟强 马肇政 李龙杰 严帆远 曾海根 黄承彬 桂泓请 刘子明 邹烨煌</t>
  </si>
  <si>
    <t xml:space="preserve">  实验   实验   城关   城关   嵩口   长校   赖坊   邓家   李家   沙芜   温郊   余朋   里田   屏山   屏山 </t>
  </si>
  <si>
    <t xml:space="preserve">  2416   2423   2434   2512   2525   2526   2534   2535   2213   2215 </t>
  </si>
  <si>
    <t xml:space="preserve"> 王思雨 罗阳阳 邱欣怡 赖雅琴 吴雯君 邹思涵 江雅琪 季锦萍 江欣怡 赖思涵</t>
  </si>
  <si>
    <t xml:space="preserve">  城关   城关   城关   实验   实验   实验   实验   实验   一中   一中 </t>
  </si>
  <si>
    <t xml:space="preserve">  1118   1125   1138   1147   1507   1208   1185   1198   1215   1227   1235   1236   1248   1258   1267   1298   1288 </t>
  </si>
  <si>
    <t xml:space="preserve"> 罗涌林 邱建辉 巫瀚岚 向  毅 江  浩 黄俊涛 上官灿彬 俞恒椿 邹  霖 黄将鸿 邱晨奕 邱煜阳 曾海根 兰聪杰 凌朝毅 邹林润 巫烨伟</t>
  </si>
  <si>
    <t xml:space="preserve">  实验   实验   城关   城关   长校   灵地   赖坊   田源   李家   沙芜   林畲   林畲   温郊   余朋   里田   屏山   屏山 </t>
  </si>
  <si>
    <t xml:space="preserve">  241a   241b   242b   243c   251a   2529   252c   2537   221b   221c </t>
  </si>
  <si>
    <t xml:space="preserve"> 罗志豪 吴钰龙 李剑鸿 沈胡建杰 张孔杰 张诚坤 刘泽学 伍羿轩 廖鸿涛 邹立涌</t>
  </si>
  <si>
    <t xml:space="preserve">  城关   城关   城关   城关   实验   实验   实验   实验   一中   一中 </t>
  </si>
  <si>
    <t xml:space="preserve">  2414   2425   2426   2432   2436   2514   2516   2524   2532   2536   2216 </t>
  </si>
  <si>
    <t xml:space="preserve"> 陈  欣 赖丽华 林佳妍 江静茹 陈佳欣 樊  阳 孙慧群 黄彬彬 江海芳 黄爱凤 李晨欣</t>
  </si>
  <si>
    <t xml:space="preserve">  城关   城关   城关   城关   城关   实验   实验   实验   实验   实验   一中 </t>
  </si>
  <si>
    <t>罗馨婷</t>
    <phoneticPr fontId="9" type="noConversion"/>
  </si>
  <si>
    <t>张  慧</t>
    <phoneticPr fontId="9" type="noConversion"/>
  </si>
  <si>
    <t>邓  洁</t>
    <phoneticPr fontId="9" type="noConversion"/>
  </si>
  <si>
    <t xml:space="preserve">  3113   3121   3125   3135   3211   3215   3222   3223 </t>
  </si>
  <si>
    <t xml:space="preserve"> 吴闽琳 赖沐君 王露瑶 赖晓敏 罗馨婷 张  慧 邓  洁 赖小花</t>
  </si>
  <si>
    <t xml:space="preserve">  3117   3129   312a   3138   3219   321b   322b   322c </t>
  </si>
  <si>
    <t xml:space="preserve"> 赖金涛 赖  荣 林善伟 曾庆宏 温余丞 江  浩 肖  智 汤锣凤</t>
  </si>
  <si>
    <t xml:space="preserve">  2412   2415   2424   2431   2511   2513   2522   2533   2211   2214 </t>
  </si>
  <si>
    <t xml:space="preserve"> 吴宇欣 黄有彬 罗  祺 赖宝怡 王  婷 雷乐星 黄思涵 黄素秋 邱文丽 罗林浠</t>
  </si>
  <si>
    <t>8、初中男子中长跑预决赛13人1组取前６名         9:10</t>
    <phoneticPr fontId="9" type="noConversion"/>
  </si>
  <si>
    <t xml:space="preserve">  2418   2429   242c   2437   2438   251c   2527   252b   2539   253c   2217 </t>
  </si>
  <si>
    <t xml:space="preserve"> 张嘉伟 黄平彬 严黄椿 吴联辉 廖林斌 张俊伟 俞卓熙 张文杰 李佳昊 邱春源 廖家烨</t>
  </si>
  <si>
    <t>1、高中男子三级跳预决赛10人1组取前６名         8:30</t>
    <phoneticPr fontId="9" type="noConversion"/>
  </si>
  <si>
    <t xml:space="preserve">  3118   311a   312b   313a   321a   3227   3228 </t>
  </si>
  <si>
    <t xml:space="preserve"> 童家熙 林开源 赖志杰 邓  楠 罗清平 罗  伟 陈浩斌</t>
  </si>
  <si>
    <t xml:space="preserve">  一中   一中   一中   一中   职中   职中   职中 </t>
  </si>
  <si>
    <t>2、初中男子跳远预决赛10人1组取前６名          8:50</t>
    <phoneticPr fontId="9" type="noConversion"/>
  </si>
  <si>
    <t xml:space="preserve">  3114   3122   3124   3136   3215   3221   3225 </t>
  </si>
  <si>
    <t xml:space="preserve"> 荚文芳 上官欣虹 廖佳怡 赵宇桢 张  慧 上官贞 涂淇娜</t>
  </si>
  <si>
    <t>2、高中男子跳高预决赛7人1组取前6名           9:20</t>
    <phoneticPr fontId="9" type="noConversion"/>
  </si>
  <si>
    <t xml:space="preserve">  311a   311c   3127   313c   3218   321c   3229 </t>
  </si>
  <si>
    <t xml:space="preserve"> 林开源 赖旭凯 雷思航 李  阳 彭毅彬 陈鹏辉 曹胜豪</t>
  </si>
  <si>
    <t>2、初中男子铅球预决赛11人1组取前６名          9:00</t>
    <phoneticPr fontId="9" type="noConversion"/>
  </si>
  <si>
    <t>黄升华</t>
    <phoneticPr fontId="9" type="noConversion"/>
  </si>
  <si>
    <t>小学</t>
    <phoneticPr fontId="9" type="noConversion"/>
  </si>
  <si>
    <t xml:space="preserve">嵩溪中小              </t>
    <phoneticPr fontId="9" type="noConversion"/>
  </si>
  <si>
    <t xml:space="preserve"> 嵩口中小</t>
    <phoneticPr fontId="9" type="noConversion"/>
  </si>
  <si>
    <t>长校中小</t>
    <phoneticPr fontId="9" type="noConversion"/>
  </si>
  <si>
    <t>灵地中小</t>
    <phoneticPr fontId="9" type="noConversion"/>
  </si>
  <si>
    <t>赖坊中小</t>
    <phoneticPr fontId="9" type="noConversion"/>
  </si>
  <si>
    <t>邓家小学</t>
    <phoneticPr fontId="9" type="noConversion"/>
  </si>
  <si>
    <t xml:space="preserve">李家中小                 </t>
    <phoneticPr fontId="9" type="noConversion"/>
  </si>
  <si>
    <t>沙芜中小</t>
    <phoneticPr fontId="9" type="noConversion"/>
  </si>
  <si>
    <t>林畲中小</t>
    <phoneticPr fontId="9" type="noConversion"/>
  </si>
  <si>
    <t>温郊中小</t>
    <phoneticPr fontId="9" type="noConversion"/>
  </si>
  <si>
    <t xml:space="preserve">    余朋中小          </t>
    <phoneticPr fontId="9" type="noConversion"/>
  </si>
  <si>
    <t xml:space="preserve">里田中小                </t>
    <phoneticPr fontId="9" type="noConversion"/>
  </si>
  <si>
    <t>赖雄才</t>
    <phoneticPr fontId="9" type="noConversion"/>
  </si>
  <si>
    <t>男子</t>
    <phoneticPr fontId="9" type="noConversion"/>
  </si>
  <si>
    <t>女子</t>
    <phoneticPr fontId="9" type="noConversion"/>
  </si>
  <si>
    <t>2418,张嘉伟,城关中学1|2429,黄平彬,城关中学2|242c,严黄椿,城关中学2|2437,吴联辉,城关中学3|2438,廖林斌,城关中学3|251b,陈培源,实验中学1|251c,张俊伟,实验中学1|2527,俞卓熙,实验中学2|252b,张文杰,实验中学2|2539,李佳昊,实验中学3|253c,邱春源,实验中学3|2217,廖家烨,一中初中|</t>
    <phoneticPr fontId="9" type="noConversion"/>
  </si>
  <si>
    <t>2412,吴宇欣,城关中学1|2415,黄有彬,城关中学1|2424,罗  祺,城关中学2|2431,赖宝怡,城关中学3|2511,王  婷,实验中学1|2522,黄思涵,实验中学2|2533,黄素秋,实验中学3|2211,邱文丽,一中初中|2214,罗林浠,一中初中|</t>
    <phoneticPr fontId="9" type="noConversion"/>
  </si>
  <si>
    <t>13初中女子400米预赛12人FALSE组取前８名进决赛 10:50</t>
    <phoneticPr fontId="9" type="noConversion"/>
  </si>
  <si>
    <t>14初中男子400米预赛10人2组取前８名进决赛     11:00</t>
    <phoneticPr fontId="9" type="noConversion"/>
  </si>
  <si>
    <t>4、小学女子跳远预决赛21人1组取前６名         10:00</t>
    <phoneticPr fontId="9" type="noConversion"/>
  </si>
  <si>
    <t>1、小学女子跳高预决赛18人1组取前６名          8:30</t>
    <phoneticPr fontId="9" type="noConversion"/>
  </si>
  <si>
    <t>女子100米预赛20人3组取前８名进决赛</t>
    <phoneticPr fontId="9" type="noConversion"/>
  </si>
  <si>
    <t>女子跳远预决赛5人1组取前4名</t>
    <phoneticPr fontId="9" type="noConversion"/>
  </si>
  <si>
    <t>女子跳远预决赛20人1组取前６名</t>
    <phoneticPr fontId="9" type="noConversion"/>
  </si>
  <si>
    <t>女子跳高预决赛17人1组取前６名</t>
    <phoneticPr fontId="9" type="noConversion"/>
  </si>
  <si>
    <t>男子垒球预决赛22人1组取前６名</t>
    <phoneticPr fontId="9" type="noConversion"/>
  </si>
  <si>
    <t>1)</t>
    <phoneticPr fontId="9" type="noConversion"/>
  </si>
  <si>
    <t>三、投掷</t>
    <phoneticPr fontId="9" type="noConversion"/>
  </si>
  <si>
    <t>1)</t>
    <phoneticPr fontId="9" type="noConversion"/>
  </si>
  <si>
    <t>小学男子100米决赛8人1组取前6名    2:35</t>
    <phoneticPr fontId="9" type="noConversion"/>
  </si>
  <si>
    <t>初中男子100米决赛8人1组取前6名    2:45</t>
    <phoneticPr fontId="9" type="noConversion"/>
  </si>
  <si>
    <t>5、高中男子200米预决赛7人1组取前6名         2:50</t>
    <phoneticPr fontId="9" type="noConversion"/>
  </si>
  <si>
    <t>11小学男子800米预赛18人2组取前８名进决赛      3:20</t>
    <phoneticPr fontId="9" type="noConversion"/>
  </si>
  <si>
    <t>男子100米预赛18人3组取前８名进决赛</t>
    <phoneticPr fontId="9" type="noConversion"/>
  </si>
  <si>
    <t>女子200米预赛19人3组取前８名进决赛</t>
    <phoneticPr fontId="9" type="noConversion"/>
  </si>
  <si>
    <t>男子200米预赛19人3组取前８名进决赛</t>
    <phoneticPr fontId="9" type="noConversion"/>
  </si>
  <si>
    <t>男子400米预赛18人3组取前８名进决赛</t>
    <phoneticPr fontId="9" type="noConversion"/>
  </si>
  <si>
    <t>女子800米预决赛17人1组取前６名</t>
    <phoneticPr fontId="9" type="noConversion"/>
  </si>
  <si>
    <t>男子800米预赛18人2组取前８名进决赛</t>
    <phoneticPr fontId="9" type="noConversion"/>
  </si>
  <si>
    <t>男子实心球预决赛18人1组取前６名</t>
    <phoneticPr fontId="9" type="noConversion"/>
  </si>
  <si>
    <t>径　赛</t>
    <phoneticPr fontId="9" type="noConversion"/>
  </si>
  <si>
    <t>径　赛</t>
    <phoneticPr fontId="9" type="noConversion"/>
  </si>
  <si>
    <t>1)</t>
    <phoneticPr fontId="9" type="noConversion"/>
  </si>
  <si>
    <t>2)</t>
    <phoneticPr fontId="9" type="noConversion"/>
  </si>
  <si>
    <t>3)</t>
    <phoneticPr fontId="9" type="noConversion"/>
  </si>
  <si>
    <t>2、小学男子100米预赛15人2组取前８名进决赛      8:45</t>
    <phoneticPr fontId="9" type="noConversion"/>
  </si>
  <si>
    <t xml:space="preserve">  八  </t>
    <phoneticPr fontId="9" type="noConversion"/>
  </si>
  <si>
    <t>廖宇忠</t>
    <phoneticPr fontId="9" type="noConversion"/>
  </si>
  <si>
    <t>里田</t>
    <phoneticPr fontId="9" type="noConversion"/>
  </si>
  <si>
    <t xml:space="preserve">  七  </t>
    <phoneticPr fontId="9" type="noConversion"/>
  </si>
  <si>
    <t>3、初中女子100米预赛15人2组取前８名进决赛      9:00</t>
    <phoneticPr fontId="9" type="noConversion"/>
  </si>
  <si>
    <t>4、初中男子100米预决赛8人1组取前６名         9:10</t>
    <phoneticPr fontId="9" type="noConversion"/>
  </si>
  <si>
    <t>5、高中女子100米预赛10人2组取前８名进决赛      9:20</t>
    <phoneticPr fontId="9" type="noConversion"/>
  </si>
  <si>
    <t>职中</t>
    <phoneticPr fontId="9" type="noConversion"/>
  </si>
  <si>
    <t>8、小学男子200米预赛16人2组取前８名进决赛      9:45</t>
    <phoneticPr fontId="9" type="noConversion"/>
  </si>
  <si>
    <t>田　赛</t>
    <phoneticPr fontId="9" type="noConversion"/>
  </si>
  <si>
    <t>1、高中男子跳远预决赛10人1组取前６名          8:30</t>
    <phoneticPr fontId="9" type="noConversion"/>
  </si>
  <si>
    <t>1、小学女子跳高预决赛16人1组取前６名          8:30</t>
    <phoneticPr fontId="9" type="noConversion"/>
  </si>
  <si>
    <t>女子400米预赛19人3组取前８名进决赛</t>
    <phoneticPr fontId="9" type="noConversion"/>
  </si>
  <si>
    <t>男子跳远预决赛18人1组取前６名</t>
    <phoneticPr fontId="9" type="noConversion"/>
  </si>
  <si>
    <t>女子铅球预决赛10人1组取前６名</t>
    <phoneticPr fontId="9" type="noConversion"/>
  </si>
  <si>
    <t>男子跳高预决赛16人1组取前６名</t>
    <phoneticPr fontId="9" type="noConversion"/>
  </si>
  <si>
    <t>女子跳高预决赛11人1组取前６名</t>
    <phoneticPr fontId="9" type="noConversion"/>
  </si>
  <si>
    <t>女子实心球预决赛12人1组取前６名</t>
    <phoneticPr fontId="9" type="noConversion"/>
  </si>
  <si>
    <t>2、高中女子跳远预决赛10人1组取前６名          9:00</t>
    <phoneticPr fontId="9" type="noConversion"/>
  </si>
  <si>
    <t>3、小学男子跳远预决赛18人1组取前６名          9:15</t>
    <phoneticPr fontId="9" type="noConversion"/>
  </si>
  <si>
    <t>10高中女子400米预决赛12人1组取前６名        3:15</t>
    <phoneticPr fontId="9" type="noConversion"/>
  </si>
  <si>
    <t>7、初中女子中长跑预决赛9人1组取前６名          9:00</t>
    <phoneticPr fontId="9" type="noConversion"/>
  </si>
  <si>
    <t>1、初中女子铅球预决赛12人1组取前６名          8:30</t>
    <phoneticPr fontId="9" type="noConversion"/>
  </si>
  <si>
    <t>3、小学男子跳远预决赛18人1组取前６名          9:15</t>
    <phoneticPr fontId="9" type="noConversion"/>
  </si>
  <si>
    <t>1、小学女子跳高预决赛18人1组取前６名          8:30</t>
    <phoneticPr fontId="9" type="noConversion"/>
  </si>
  <si>
    <t>322c</t>
    <phoneticPr fontId="9" type="noConversion"/>
  </si>
  <si>
    <t>赖启锐</t>
    <phoneticPr fontId="9" type="noConversion"/>
  </si>
  <si>
    <t>张凤玉</t>
    <phoneticPr fontId="9" type="noConversion"/>
  </si>
  <si>
    <t>9、小学组4×100米混合接力决赛10队2组取前8名      9:20</t>
    <phoneticPr fontId="9" type="noConversion"/>
  </si>
  <si>
    <t>余朋</t>
    <phoneticPr fontId="9" type="noConversion"/>
  </si>
  <si>
    <t>林畲</t>
    <phoneticPr fontId="9" type="noConversion"/>
  </si>
  <si>
    <t>里田</t>
    <phoneticPr fontId="9" type="noConversion"/>
  </si>
  <si>
    <t>小学女子100米决赛8人1组取前6名    2:30</t>
    <phoneticPr fontId="9" type="noConversion"/>
  </si>
  <si>
    <t>小学男子100米决赛8人1组取前6名    2:35</t>
    <phoneticPr fontId="9" type="noConversion"/>
  </si>
  <si>
    <t>初中女子100米决赛8人1组取前6名    2:40</t>
    <phoneticPr fontId="9" type="noConversion"/>
  </si>
  <si>
    <t>初中男子100米决赛8人1组取前6名    2:45</t>
    <phoneticPr fontId="9" type="noConversion"/>
  </si>
  <si>
    <t>小学男子组400米决赛8人1组取前6名     2:55</t>
    <phoneticPr fontId="9" type="noConversion"/>
  </si>
  <si>
    <t>小学女子组400米决赛8人1组取前6名     3:00</t>
    <phoneticPr fontId="9" type="noConversion"/>
  </si>
  <si>
    <t>初中女子组400米决赛8人1组取前6名     3:05</t>
    <phoneticPr fontId="9" type="noConversion"/>
  </si>
  <si>
    <t>初中男子组400米决赛8人1组取前6名     3:10</t>
    <phoneticPr fontId="9" type="noConversion"/>
  </si>
  <si>
    <t>一、跳远</t>
    <phoneticPr fontId="9" type="noConversion"/>
  </si>
  <si>
    <t>小学女子组200米决赛8人1组取前6名             8:30</t>
    <phoneticPr fontId="9" type="noConversion"/>
  </si>
  <si>
    <t>女子铅球预决赛7人1组取前6名</t>
    <phoneticPr fontId="9" type="noConversion"/>
  </si>
  <si>
    <t>女子400米预决赛7人1组取前6名</t>
    <phoneticPr fontId="9" type="noConversion"/>
  </si>
  <si>
    <t>女子三级跳预决赛5人1组取前4名</t>
    <phoneticPr fontId="9" type="noConversion"/>
  </si>
  <si>
    <t>女子实心球预决赛16人1组取前６名</t>
    <phoneticPr fontId="9" type="noConversion"/>
  </si>
  <si>
    <t>女子200米预决赛8人1组取前６名</t>
    <phoneticPr fontId="9" type="noConversion"/>
  </si>
  <si>
    <t>女子中长跑预决赛8人1组取前６名</t>
    <phoneticPr fontId="9" type="noConversion"/>
  </si>
  <si>
    <t>女子跳高预决赛7人1组取前6名</t>
    <phoneticPr fontId="9" type="noConversion"/>
  </si>
  <si>
    <t>女子800米预决赛17人1组取前６名</t>
    <phoneticPr fontId="9" type="noConversion"/>
  </si>
  <si>
    <t>女子100米预赛13人2组取前８名进决赛</t>
    <phoneticPr fontId="9" type="noConversion"/>
  </si>
  <si>
    <t>女子100米预赛9人2组取前８名进决赛</t>
    <phoneticPr fontId="9" type="noConversion"/>
  </si>
  <si>
    <t>1、小学女子组100米预赛19人3组取前8名决赛　　9:30</t>
    <phoneticPr fontId="9" type="noConversion"/>
  </si>
  <si>
    <t>2、小学男子组100米预赛18人3组取前8名决赛　  9:45</t>
    <phoneticPr fontId="9" type="noConversion"/>
  </si>
  <si>
    <t>3、初中女子组100米预赛12人2组取前8名决赛　  10:00</t>
    <phoneticPr fontId="9" type="noConversion"/>
  </si>
  <si>
    <t>4、初中男子组100米预赛11人2组取前8名决赛　  10:10</t>
    <phoneticPr fontId="9" type="noConversion"/>
  </si>
  <si>
    <t>5、高中女子组100米决赛7人1组取前6名         10:15</t>
    <phoneticPr fontId="9" type="noConversion"/>
  </si>
  <si>
    <t>6、高中男子组100米决赛8人1组取前6名         10:20</t>
    <phoneticPr fontId="9" type="noConversion"/>
  </si>
  <si>
    <t>7、小学女子组200米预赛18人3组取前８名决赛     10:25</t>
    <phoneticPr fontId="9" type="noConversion"/>
  </si>
  <si>
    <t>8、小学男子组200米预赛19人3组取前８名进决赛   10:40</t>
    <phoneticPr fontId="9" type="noConversion"/>
  </si>
  <si>
    <t>9、初中女子组200米预赛13人3组取前8名决赛      10:55</t>
    <phoneticPr fontId="9" type="noConversion"/>
  </si>
  <si>
    <t>10、初中男子组200米预赛11人2组取前８名进决赛  11:00</t>
    <phoneticPr fontId="9" type="noConversion"/>
  </si>
  <si>
    <t>11、高中男子400米预决赛8人1组取前6名  11:10</t>
    <phoneticPr fontId="9" type="noConversion"/>
  </si>
  <si>
    <t>12、小学男子组400米预赛17人3组取前8名进决赛   11:15</t>
    <phoneticPr fontId="9" type="noConversion"/>
  </si>
  <si>
    <t>4、高中男子铅球预决赛7人1组取前6名          10:45</t>
    <phoneticPr fontId="9" type="noConversion"/>
  </si>
  <si>
    <t>1、小学男子实心球预决赛18人1组取前６名         2:30</t>
    <phoneticPr fontId="9" type="noConversion"/>
  </si>
  <si>
    <t>小学男子组200米决赛8人1组取前6名             8:35</t>
    <phoneticPr fontId="9" type="noConversion"/>
  </si>
  <si>
    <t>初中女子组200米决赛8人1组取前6名             8:40</t>
    <phoneticPr fontId="9" type="noConversion"/>
  </si>
  <si>
    <t>初中男子组200米决赛8人1组取前6名             8:45</t>
    <phoneticPr fontId="9" type="noConversion"/>
  </si>
  <si>
    <t>1、小学男子组实心球预决赛17人1组取前6名    　 2:30</t>
    <phoneticPr fontId="9" type="noConversion"/>
  </si>
  <si>
    <t>2、小学女子组实心球预决赛16人1组取前6名　　　 3:25</t>
    <phoneticPr fontId="9" type="noConversion"/>
  </si>
  <si>
    <t>3、初中男子组实心球预决赛12人1组取前6名　　　 4:15</t>
    <phoneticPr fontId="9" type="noConversion"/>
  </si>
  <si>
    <t>4、初中女子组实心球预决赛10人1组取前6名　　　 4:50</t>
    <phoneticPr fontId="9" type="noConversion"/>
  </si>
  <si>
    <t>1、小学男子组跳高预决赛14人1组取前6名         2:30</t>
    <phoneticPr fontId="9" type="noConversion"/>
  </si>
  <si>
    <t>第二场　11月29日下午2:30</t>
    <phoneticPr fontId="9" type="noConversion"/>
  </si>
  <si>
    <t>5、高中女子组200米预决赛6人1组取前5名           8:50</t>
    <phoneticPr fontId="9" type="noConversion"/>
  </si>
  <si>
    <t>6、高中男子组400米预决赛8人1组取前6名　   　　  8:55</t>
    <phoneticPr fontId="9" type="noConversion"/>
  </si>
  <si>
    <t>7、初中女子组中长跑预决赛10人1组取前6名 　　　  9:00</t>
    <phoneticPr fontId="9" type="noConversion"/>
  </si>
  <si>
    <t>8、初中男子组中长跑预决赛14人1组取前6名         9:10</t>
    <phoneticPr fontId="9" type="noConversion"/>
  </si>
  <si>
    <t>10、初中组4×100米混合接力决赛8队1组取前6名     9:30</t>
    <phoneticPr fontId="9" type="noConversion"/>
  </si>
  <si>
    <t>6、高中男子400米预决赛8人1组取前６名         8:55</t>
    <phoneticPr fontId="9" type="noConversion"/>
  </si>
  <si>
    <t>杨旭龙</t>
    <phoneticPr fontId="9" type="noConversion"/>
  </si>
  <si>
    <t>李昱材</t>
    <phoneticPr fontId="9" type="noConversion"/>
  </si>
  <si>
    <t>温永邦</t>
    <phoneticPr fontId="9" type="noConversion"/>
  </si>
  <si>
    <t>罗灵斌</t>
    <phoneticPr fontId="9" type="noConversion"/>
  </si>
  <si>
    <t>李  成</t>
    <phoneticPr fontId="9" type="noConversion"/>
  </si>
  <si>
    <t>孙建文</t>
    <phoneticPr fontId="9" type="noConversion"/>
  </si>
  <si>
    <t>兰  敏</t>
    <phoneticPr fontId="9" type="noConversion"/>
  </si>
  <si>
    <t>江云烨</t>
    <phoneticPr fontId="9" type="noConversion"/>
  </si>
  <si>
    <t>凌梓鑫</t>
    <phoneticPr fontId="9" type="noConversion"/>
  </si>
  <si>
    <t>1、小学男子实心球预决赛17人1组取前６名         2:30</t>
  </si>
  <si>
    <t>3、初中男子实心球预决赛12人1组取前６名         4:15</t>
  </si>
  <si>
    <t>5、高中女子200米预决赛6人1组取前5名         8:50</t>
    <phoneticPr fontId="9" type="noConversion"/>
  </si>
  <si>
    <t>第1组</t>
    <phoneticPr fontId="9" type="noConversion"/>
  </si>
  <si>
    <t>道次</t>
    <phoneticPr fontId="9" type="noConversion"/>
  </si>
  <si>
    <t>号码</t>
    <phoneticPr fontId="9" type="noConversion"/>
  </si>
  <si>
    <t>姓名</t>
    <phoneticPr fontId="9" type="noConversion"/>
  </si>
  <si>
    <t>单位</t>
    <phoneticPr fontId="9" type="noConversion"/>
  </si>
  <si>
    <t>成绩</t>
    <phoneticPr fontId="9" type="noConversion"/>
  </si>
  <si>
    <t>备注</t>
    <phoneticPr fontId="9" type="noConversion"/>
  </si>
  <si>
    <t>一</t>
    <phoneticPr fontId="9" type="noConversion"/>
  </si>
  <si>
    <t>李思佳</t>
    <phoneticPr fontId="9" type="noConversion"/>
  </si>
  <si>
    <t>一中</t>
    <phoneticPr fontId="9" type="noConversion"/>
  </si>
  <si>
    <t xml:space="preserve">  二</t>
    <phoneticPr fontId="9" type="noConversion"/>
  </si>
  <si>
    <t>余菁菁</t>
    <phoneticPr fontId="9" type="noConversion"/>
  </si>
  <si>
    <t xml:space="preserve">  三</t>
    <phoneticPr fontId="9" type="noConversion"/>
  </si>
  <si>
    <t>赖丹敏</t>
    <phoneticPr fontId="9" type="noConversion"/>
  </si>
  <si>
    <t xml:space="preserve">  四</t>
    <phoneticPr fontId="9" type="noConversion"/>
  </si>
  <si>
    <t>罗秀芳</t>
    <phoneticPr fontId="9" type="noConversion"/>
  </si>
  <si>
    <t xml:space="preserve">  五</t>
    <phoneticPr fontId="9" type="noConversion"/>
  </si>
  <si>
    <t>罗笑瑜</t>
    <phoneticPr fontId="9" type="noConversion"/>
  </si>
  <si>
    <t>职中</t>
    <phoneticPr fontId="9" type="noConversion"/>
  </si>
  <si>
    <t xml:space="preserve">  六</t>
    <phoneticPr fontId="9" type="noConversion"/>
  </si>
  <si>
    <t>邹  慧</t>
    <phoneticPr fontId="9" type="noConversion"/>
  </si>
  <si>
    <t xml:space="preserve">  七  </t>
    <phoneticPr fontId="9" type="noConversion"/>
  </si>
  <si>
    <t>张凤玉</t>
    <phoneticPr fontId="9" type="noConversion"/>
  </si>
  <si>
    <t>6、高中男子400米预决赛8人1组取前６名         8:55</t>
    <phoneticPr fontId="9" type="noConversion"/>
  </si>
  <si>
    <t>杨旭龙</t>
    <phoneticPr fontId="9" type="noConversion"/>
  </si>
  <si>
    <t>311a</t>
    <phoneticPr fontId="9" type="noConversion"/>
  </si>
  <si>
    <t>李昱材</t>
    <phoneticPr fontId="9" type="noConversion"/>
  </si>
  <si>
    <t>温永邦</t>
    <phoneticPr fontId="9" type="noConversion"/>
  </si>
  <si>
    <t>312c</t>
    <phoneticPr fontId="9" type="noConversion"/>
  </si>
  <si>
    <t>罗灵斌</t>
    <phoneticPr fontId="9" type="noConversion"/>
  </si>
  <si>
    <t>李  成</t>
    <phoneticPr fontId="9" type="noConversion"/>
  </si>
  <si>
    <t>巫国良</t>
    <phoneticPr fontId="9" type="noConversion"/>
  </si>
  <si>
    <t xml:space="preserve">  七</t>
    <phoneticPr fontId="9" type="noConversion"/>
  </si>
  <si>
    <t>俞钦强</t>
    <phoneticPr fontId="9" type="noConversion"/>
  </si>
  <si>
    <t xml:space="preserve">  八  </t>
    <phoneticPr fontId="9" type="noConversion"/>
  </si>
  <si>
    <t>322a</t>
    <phoneticPr fontId="9" type="noConversion"/>
  </si>
  <si>
    <t>郑受隆</t>
    <phoneticPr fontId="9" type="noConversion"/>
  </si>
  <si>
    <t>11、高中组4×100米混合接力决赛5队1组取前4名     9:40</t>
    <phoneticPr fontId="9" type="noConversion"/>
  </si>
  <si>
    <t>2、高中女子组三级跳远预决赛7人1组取前6名        3:05</t>
    <phoneticPr fontId="9" type="noConversion"/>
  </si>
  <si>
    <t>2、初中男子组跳远预决赛8人1组取前6名     　8:50</t>
    <phoneticPr fontId="9" type="noConversion"/>
  </si>
  <si>
    <t>1)</t>
  </si>
  <si>
    <t>2)</t>
  </si>
  <si>
    <t xml:space="preserve">   二     三     四     五     六     七  </t>
  </si>
  <si>
    <t>3)</t>
  </si>
  <si>
    <t xml:space="preserve">   一     二     三     四     五     六     七     八  </t>
  </si>
  <si>
    <t>10初中男子200米预赛11人2组取前８名进决赛     10:10</t>
  </si>
  <si>
    <t>铅球</t>
    <phoneticPr fontId="9" type="noConversion"/>
  </si>
  <si>
    <t>高中</t>
    <phoneticPr fontId="9" type="noConversion"/>
  </si>
  <si>
    <t>三级跳</t>
    <phoneticPr fontId="9" type="noConversion"/>
  </si>
  <si>
    <t>女子</t>
    <phoneticPr fontId="9" type="noConversion"/>
  </si>
  <si>
    <t>男子100米预决赛8人1组取前６名</t>
    <phoneticPr fontId="9" type="noConversion"/>
  </si>
  <si>
    <t>男子100米预决赛5人1组取前4名</t>
    <phoneticPr fontId="9" type="noConversion"/>
  </si>
  <si>
    <t>男子200米预赛13人2组取前８名进决赛</t>
    <phoneticPr fontId="9" type="noConversion"/>
  </si>
  <si>
    <t>女子中长跑预决赛9人1组取前６名</t>
    <phoneticPr fontId="9" type="noConversion"/>
  </si>
  <si>
    <t>男子跳远预决赛10人1组取前６名</t>
    <phoneticPr fontId="9" type="noConversion"/>
  </si>
  <si>
    <t>男子跳高预决赛10人1组取前６名</t>
    <phoneticPr fontId="9" type="noConversion"/>
  </si>
  <si>
    <t>女子垒球预决赛16人1组取前６名</t>
    <phoneticPr fontId="9" type="noConversion"/>
  </si>
  <si>
    <t>男子铅球预决赛7人1组取前6名</t>
    <phoneticPr fontId="9" type="noConversion"/>
  </si>
  <si>
    <t>男子200米预决赛7人1组取前6名</t>
    <phoneticPr fontId="9" type="noConversion"/>
  </si>
  <si>
    <t>男子中长跑预决赛6人1组取前5名</t>
    <phoneticPr fontId="9" type="noConversion"/>
  </si>
  <si>
    <t>女子跳远预决赛11人1组取前６名</t>
    <phoneticPr fontId="9" type="noConversion"/>
  </si>
  <si>
    <t>男子实心球预决赛9人1组取前６名</t>
    <phoneticPr fontId="9" type="noConversion"/>
  </si>
  <si>
    <t>男子中长跑预决赛13人1组取前６名</t>
    <phoneticPr fontId="9" type="noConversion"/>
  </si>
  <si>
    <t>男子三级跳预决赛10人1组取前６名</t>
    <phoneticPr fontId="9" type="noConversion"/>
  </si>
  <si>
    <t>男子跳高预决赛7人1组取前6名</t>
    <phoneticPr fontId="9" type="noConversion"/>
  </si>
  <si>
    <t>男子铅球预决赛11人1组取前６名</t>
    <phoneticPr fontId="9" type="noConversion"/>
  </si>
  <si>
    <t>10初中男子200米预赛13人2组取前８名进决赛     10:10</t>
    <phoneticPr fontId="9" type="noConversion"/>
  </si>
  <si>
    <t>2、初中男子跳高预决赛10人1组取前６名         10:30</t>
    <phoneticPr fontId="9" type="noConversion"/>
  </si>
  <si>
    <t>9、初中女子200米预赛11人2组取前８名进决赛     10:00</t>
    <phoneticPr fontId="9" type="noConversion"/>
  </si>
  <si>
    <t>小学女子组200米决赛8人1组取前6名             8:30</t>
    <phoneticPr fontId="9" type="noConversion"/>
  </si>
  <si>
    <t>小学男子组200米决赛8人1组取前6名             8:35</t>
    <phoneticPr fontId="9" type="noConversion"/>
  </si>
  <si>
    <t>初中男子组200米决赛8人1组取前6名             8:45</t>
    <phoneticPr fontId="9" type="noConversion"/>
  </si>
  <si>
    <t>6、高中男子400米预决赛8人1组取前６名         8:55</t>
    <phoneticPr fontId="9" type="noConversion"/>
  </si>
  <si>
    <t>小学</t>
    <phoneticPr fontId="9" type="noConversion"/>
  </si>
  <si>
    <t>2、初中女子跳高预决赛11人1组取前６名          4:30</t>
    <phoneticPr fontId="9" type="noConversion"/>
  </si>
  <si>
    <t>第三场　11月30日上午8:30</t>
    <phoneticPr fontId="9" type="noConversion"/>
  </si>
  <si>
    <t>8、初中男子中长跑预决赛13人1组取前６名         9:10</t>
    <phoneticPr fontId="9" type="noConversion"/>
  </si>
  <si>
    <t>1、高中男子三级跳预决赛10人1组取前６名         8:30</t>
    <phoneticPr fontId="9" type="noConversion"/>
  </si>
  <si>
    <t>2、初中男子跳远预决赛10人1组取前６名          8:50</t>
    <phoneticPr fontId="9" type="noConversion"/>
  </si>
  <si>
    <t>2、高中男子跳高预决赛7人1组取前6名           9:20</t>
    <phoneticPr fontId="9" type="noConversion"/>
  </si>
  <si>
    <t>2、初中男子铅球预决赛11人1组取前６名          9:00</t>
    <phoneticPr fontId="9" type="noConversion"/>
  </si>
  <si>
    <t>第一场　11月29日上午8:30</t>
    <phoneticPr fontId="9" type="noConversion"/>
  </si>
  <si>
    <t>1)</t>
    <phoneticPr fontId="9" type="noConversion"/>
  </si>
  <si>
    <t>1)</t>
    <phoneticPr fontId="9" type="noConversion"/>
  </si>
  <si>
    <t>2)</t>
    <phoneticPr fontId="9" type="noConversion"/>
  </si>
  <si>
    <t>3)</t>
    <phoneticPr fontId="9" type="noConversion"/>
  </si>
  <si>
    <t>垒球</t>
    <phoneticPr fontId="9" type="noConversion"/>
  </si>
  <si>
    <t>实心球</t>
    <phoneticPr fontId="9" type="noConversion"/>
  </si>
  <si>
    <t>混合接力</t>
    <phoneticPr fontId="9" type="noConversion"/>
  </si>
  <si>
    <t>13、小学女子组800米预赛17人1组取前6名        11:30</t>
    <phoneticPr fontId="9" type="noConversion"/>
  </si>
  <si>
    <t>14、高中女子组中长跑预决赛8人1组取前6名          11:35</t>
    <phoneticPr fontId="9" type="noConversion"/>
  </si>
  <si>
    <t>5、高中女子100米预赛9人2组取前８名进决赛      10:15</t>
    <phoneticPr fontId="9" type="noConversion"/>
  </si>
  <si>
    <t>1、高中男子组三级跳远预决赛6人1组取前5名       8:30</t>
    <phoneticPr fontId="9" type="noConversion"/>
  </si>
  <si>
    <t>6、高中男子400米预决赛8人1组取前６名         8:55</t>
  </si>
  <si>
    <t>第三场　11月30日上午8:30</t>
    <phoneticPr fontId="9" type="noConversion"/>
  </si>
  <si>
    <t>一、跳远</t>
    <phoneticPr fontId="9" type="noConversion"/>
  </si>
  <si>
    <t>二、跳高</t>
    <phoneticPr fontId="9" type="noConversion"/>
  </si>
  <si>
    <t>三、投掷</t>
    <phoneticPr fontId="9" type="noConversion"/>
  </si>
  <si>
    <t>5、高中男子组200米预决赛8人1组取前6名   2:50</t>
    <phoneticPr fontId="9" type="noConversion"/>
  </si>
  <si>
    <t>12、高中男子组中长跑预决赛5人1组取前4名  3:30</t>
    <phoneticPr fontId="9" type="noConversion"/>
  </si>
  <si>
    <t>13、小学组4×100米混合接力预赛17队3组取前10名决赛 3:40</t>
    <phoneticPr fontId="9" type="noConversion"/>
  </si>
  <si>
    <t>10 、高中女子组400米预决赛6人1取前5名   3:15</t>
    <phoneticPr fontId="9" type="noConversion"/>
  </si>
  <si>
    <t>11、小学男子组800米预决赛15人1组取前6名 3:20</t>
    <phoneticPr fontId="9" type="noConversion"/>
  </si>
  <si>
    <t>男子400米预赛17人3组取前８名进决赛</t>
    <phoneticPr fontId="9" type="noConversion"/>
  </si>
  <si>
    <t>女子400米预决赛6人1组取前5名</t>
    <phoneticPr fontId="9" type="noConversion"/>
  </si>
  <si>
    <t>1、高中男子组跳远预决赛10人1组取前6名        8:30</t>
    <phoneticPr fontId="9" type="noConversion"/>
  </si>
  <si>
    <t>2、高中女子组跳远预决赛5人1组取前4名         9:00</t>
    <phoneticPr fontId="9" type="noConversion"/>
  </si>
  <si>
    <t>3、小学男子组跳远预决赛15人1组取前6名        9:15</t>
    <phoneticPr fontId="9" type="noConversion"/>
  </si>
  <si>
    <t>4、小学女子组跳远预决赛18人1组取前6名        10:00</t>
    <phoneticPr fontId="9" type="noConversion"/>
  </si>
  <si>
    <t>1、小学男子组垒球预决赛17人1组取前6名        8:30</t>
    <phoneticPr fontId="9" type="noConversion"/>
  </si>
  <si>
    <t>2、小学女子组垒球预决赛17人1组取前6名        9:25</t>
    <phoneticPr fontId="9" type="noConversion"/>
  </si>
  <si>
    <t>第一场　11月29日上午8:30</t>
    <phoneticPr fontId="9" type="noConversion"/>
  </si>
  <si>
    <t>男子400米预决赛8人1组取前６名</t>
    <phoneticPr fontId="9" type="noConversion"/>
  </si>
  <si>
    <t>男子800米预决赛15人1组取前６名</t>
    <phoneticPr fontId="9" type="noConversion"/>
  </si>
  <si>
    <t>男子1500米预决赛0人0组不比赛</t>
    <phoneticPr fontId="9" type="noConversion"/>
  </si>
  <si>
    <t>女子1500米预决赛0人0组不比赛</t>
    <phoneticPr fontId="9" type="noConversion"/>
  </si>
  <si>
    <t>男子铅球预决赛12人1组取前６名</t>
    <phoneticPr fontId="9" type="noConversion"/>
  </si>
  <si>
    <t>男子跳远预决赛8人1组取前６名</t>
    <phoneticPr fontId="9" type="noConversion"/>
  </si>
  <si>
    <t>第1组</t>
  </si>
  <si>
    <t>道次</t>
  </si>
  <si>
    <t>单位</t>
  </si>
  <si>
    <t>成绩</t>
  </si>
  <si>
    <t>备注</t>
  </si>
  <si>
    <t xml:space="preserve">  三</t>
  </si>
  <si>
    <t xml:space="preserve">  四</t>
  </si>
  <si>
    <t xml:space="preserve">  五</t>
  </si>
  <si>
    <t xml:space="preserve">  六</t>
  </si>
  <si>
    <t xml:space="preserve">  七  </t>
  </si>
  <si>
    <t>一中</t>
  </si>
  <si>
    <t>二中</t>
  </si>
  <si>
    <t>一</t>
  </si>
  <si>
    <t xml:space="preserve">  二</t>
  </si>
  <si>
    <t>职中</t>
  </si>
  <si>
    <t>241a</t>
  </si>
  <si>
    <t>251c</t>
  </si>
  <si>
    <t xml:space="preserve">  七</t>
  </si>
  <si>
    <t xml:space="preserve">  八  </t>
  </si>
  <si>
    <t>322a</t>
  </si>
  <si>
    <t xml:space="preserve">清流一中1         </t>
    <phoneticPr fontId="9" type="noConversion"/>
  </si>
  <si>
    <t xml:space="preserve">清流一中2       </t>
    <phoneticPr fontId="9" type="noConversion"/>
  </si>
  <si>
    <t>清流职中1</t>
    <phoneticPr fontId="9" type="noConversion"/>
  </si>
  <si>
    <t>组别:小学组</t>
    <phoneticPr fontId="9" type="noConversion"/>
  </si>
  <si>
    <t>指导教师</t>
    <phoneticPr fontId="9" type="noConversion"/>
  </si>
  <si>
    <t>身份证号码</t>
    <phoneticPr fontId="9" type="noConversion"/>
  </si>
  <si>
    <t>指导教师</t>
    <phoneticPr fontId="9" type="noConversion"/>
  </si>
  <si>
    <t>身份证号码</t>
    <phoneticPr fontId="9" type="noConversion"/>
  </si>
  <si>
    <t>跳元</t>
    <phoneticPr fontId="9" type="noConversion"/>
  </si>
  <si>
    <t>领队</t>
    <phoneticPr fontId="9" type="noConversion"/>
  </si>
  <si>
    <t>教练</t>
    <phoneticPr fontId="9" type="noConversion"/>
  </si>
  <si>
    <t>跳远</t>
    <phoneticPr fontId="9" type="noConversion"/>
  </si>
  <si>
    <t>实心球</t>
    <phoneticPr fontId="9" type="noConversion"/>
  </si>
  <si>
    <t>实心球</t>
    <phoneticPr fontId="9" type="noConversion"/>
  </si>
  <si>
    <t>城关中学1</t>
    <phoneticPr fontId="9" type="noConversion"/>
  </si>
  <si>
    <t>城关中学2</t>
    <phoneticPr fontId="9" type="noConversion"/>
  </si>
  <si>
    <t>城关小学１</t>
    <phoneticPr fontId="9" type="noConversion"/>
  </si>
  <si>
    <t>城关小学２</t>
    <phoneticPr fontId="9" type="noConversion"/>
  </si>
  <si>
    <t>初中组</t>
    <phoneticPr fontId="9" type="noConversion"/>
  </si>
  <si>
    <t>清流职中2</t>
    <phoneticPr fontId="9" type="noConversion"/>
  </si>
  <si>
    <t>高中组</t>
    <phoneticPr fontId="9" type="noConversion"/>
  </si>
  <si>
    <t>实验小学1</t>
    <phoneticPr fontId="9" type="noConversion"/>
  </si>
  <si>
    <t xml:space="preserve">实验小学2                  </t>
    <phoneticPr fontId="9" type="noConversion"/>
  </si>
  <si>
    <t>中长跑</t>
    <phoneticPr fontId="9" type="noConversion"/>
  </si>
  <si>
    <t>女子800米预决赛13人1组取前６名</t>
    <phoneticPr fontId="9" type="noConversion"/>
  </si>
  <si>
    <t>女子400米预赛17人3组取前８名进决赛</t>
    <phoneticPr fontId="9" type="noConversion"/>
  </si>
  <si>
    <t>男子1500米预决赛12人1组取前６名</t>
    <phoneticPr fontId="9" type="noConversion"/>
  </si>
  <si>
    <t>女子1500米预决赛9人1组取前６名</t>
    <phoneticPr fontId="9" type="noConversion"/>
  </si>
  <si>
    <t>男子1500米预决赛3人1组取前2名</t>
    <phoneticPr fontId="9" type="noConversion"/>
  </si>
  <si>
    <t>女子1500米预决赛2人1组取前1名</t>
    <phoneticPr fontId="9" type="noConversion"/>
  </si>
  <si>
    <t>女子铅球预决赛9人1组取前６名</t>
    <phoneticPr fontId="9" type="noConversion"/>
  </si>
  <si>
    <t>女子三级跳预决赛6人1组取前5名</t>
    <phoneticPr fontId="9" type="noConversion"/>
  </si>
  <si>
    <t>代表队名称：</t>
    <phoneticPr fontId="9" type="noConversion"/>
  </si>
  <si>
    <t>小学组</t>
    <phoneticPr fontId="9" type="noConversion"/>
  </si>
  <si>
    <t xml:space="preserve">清流一中1        </t>
    <phoneticPr fontId="9" type="noConversion"/>
  </si>
  <si>
    <t>41</t>
    <phoneticPr fontId="9" type="noConversion"/>
  </si>
  <si>
    <t>田　赛</t>
  </si>
  <si>
    <t>代表队名称：</t>
  </si>
  <si>
    <t>组别：</t>
  </si>
  <si>
    <t>高中组</t>
  </si>
  <si>
    <t xml:space="preserve">     </t>
  </si>
  <si>
    <t>身份证号</t>
  </si>
  <si>
    <t>指导教师</t>
  </si>
  <si>
    <t>中长跑</t>
  </si>
  <si>
    <t>混合接力</t>
  </si>
  <si>
    <t xml:space="preserve">  </t>
  </si>
  <si>
    <t>初中组</t>
  </si>
  <si>
    <t>城关中学1</t>
  </si>
  <si>
    <t>指导老师</t>
  </si>
  <si>
    <t>垒球</t>
  </si>
  <si>
    <t>组别：小学组</t>
    <phoneticPr fontId="9" type="noConversion"/>
  </si>
  <si>
    <t>小学组</t>
  </si>
  <si>
    <t>田源中小</t>
    <phoneticPr fontId="9" type="noConversion"/>
  </si>
  <si>
    <t xml:space="preserve"> 实心球</t>
  </si>
  <si>
    <t>200米</t>
    <phoneticPr fontId="9" type="noConversion"/>
  </si>
  <si>
    <t>400米</t>
    <phoneticPr fontId="9" type="noConversion"/>
  </si>
  <si>
    <t>垒球</t>
    <phoneticPr fontId="9" type="noConversion"/>
  </si>
  <si>
    <t>领队：</t>
  </si>
  <si>
    <t>教练：</t>
  </si>
  <si>
    <t>号码</t>
  </si>
  <si>
    <t>姓名</t>
  </si>
  <si>
    <t>性别</t>
  </si>
  <si>
    <t>出生年月</t>
  </si>
  <si>
    <t>100米</t>
  </si>
  <si>
    <t>200米</t>
  </si>
  <si>
    <t>400米</t>
  </si>
  <si>
    <t>800米</t>
  </si>
  <si>
    <t>1500米</t>
  </si>
  <si>
    <t>跳高</t>
  </si>
  <si>
    <t>跳远</t>
  </si>
  <si>
    <t>三级跳</t>
  </si>
  <si>
    <t>实心球</t>
  </si>
  <si>
    <t>铅球</t>
  </si>
  <si>
    <t>领队:</t>
  </si>
  <si>
    <t>教练:</t>
  </si>
  <si>
    <t>组别</t>
  </si>
  <si>
    <t>小学</t>
  </si>
  <si>
    <t xml:space="preserve">领队：  </t>
  </si>
  <si>
    <t xml:space="preserve">  教练：</t>
  </si>
  <si>
    <t>备注:1、各校男运动员写前四格，女运动员写后四格。
     2、实验小学、城关小学、职业中学派2个代表队，清流一中、城关中学派3个代表队，其它学校派1个代表队参加比赛。每个代表队填写一张报名表。
     3、本表于9月3日前上交一份到进修学校李序清老师处（加盖学校公章）。</t>
  </si>
  <si>
    <t>3000米</t>
  </si>
  <si>
    <t>代表队</t>
  </si>
  <si>
    <t>初中</t>
  </si>
  <si>
    <t>高中</t>
  </si>
  <si>
    <t>青年</t>
  </si>
  <si>
    <t>中年</t>
  </si>
  <si>
    <t>日期</t>
  </si>
  <si>
    <t>午别</t>
  </si>
  <si>
    <t>时间</t>
  </si>
  <si>
    <t>上午</t>
  </si>
  <si>
    <t>径　赛</t>
  </si>
  <si>
    <t xml:space="preserve">城关中学2                 </t>
    <phoneticPr fontId="9" type="noConversion"/>
  </si>
  <si>
    <t xml:space="preserve">城关中学3                  </t>
    <phoneticPr fontId="9" type="noConversion"/>
  </si>
  <si>
    <t xml:space="preserve">城关中学3                  </t>
    <phoneticPr fontId="9" type="noConversion"/>
  </si>
  <si>
    <t>实验中学1</t>
    <phoneticPr fontId="9" type="noConversion"/>
  </si>
  <si>
    <t>实验中学1</t>
    <phoneticPr fontId="9" type="noConversion"/>
  </si>
  <si>
    <t>实验中学2</t>
    <phoneticPr fontId="9" type="noConversion"/>
  </si>
  <si>
    <t>混合接力</t>
    <phoneticPr fontId="9" type="noConversion"/>
  </si>
  <si>
    <t>清流一中2</t>
    <phoneticPr fontId="9" type="noConversion"/>
  </si>
  <si>
    <t>清流一中3</t>
    <phoneticPr fontId="9" type="noConversion"/>
  </si>
  <si>
    <t>实验中学3</t>
    <phoneticPr fontId="9" type="noConversion"/>
  </si>
  <si>
    <t>姓  名</t>
    <phoneticPr fontId="9" type="noConversion"/>
  </si>
  <si>
    <t>311a</t>
  </si>
  <si>
    <t>311b</t>
  </si>
  <si>
    <t>311c</t>
  </si>
  <si>
    <t>312a</t>
  </si>
  <si>
    <t>312c</t>
  </si>
  <si>
    <t>242a</t>
  </si>
  <si>
    <t>242b</t>
  </si>
  <si>
    <t>242c</t>
  </si>
  <si>
    <t>罗丽萍</t>
  </si>
  <si>
    <t>杨旭龙</t>
  </si>
  <si>
    <t>李昱材</t>
  </si>
  <si>
    <t>温永邦</t>
  </si>
  <si>
    <t>罗灵斌</t>
  </si>
  <si>
    <t>李  成</t>
  </si>
  <si>
    <t>巫国良</t>
  </si>
  <si>
    <t>俞钦强</t>
  </si>
  <si>
    <t>郑俊华</t>
  </si>
  <si>
    <t>郑受隆</t>
  </si>
  <si>
    <t>赖启锐</t>
  </si>
  <si>
    <t>322c</t>
  </si>
  <si>
    <t>1、小学女子组跳高预决赛16人1组取前6名        8:30</t>
    <phoneticPr fontId="9" type="noConversion"/>
  </si>
  <si>
    <t>3、高中女子组铅球预决赛8人1组取前6名        10:20</t>
    <phoneticPr fontId="9" type="noConversion"/>
  </si>
  <si>
    <t>2、初中男子组跳高预决赛11人1组取前6名        10:30</t>
    <phoneticPr fontId="9" type="noConversion"/>
  </si>
  <si>
    <t>4、高中男子组铅球预决赛7人1组取前6名        10:45</t>
    <phoneticPr fontId="9" type="noConversion"/>
  </si>
  <si>
    <t>1、初中女子组跳远预决赛12人1组取前6名         2:30</t>
    <phoneticPr fontId="9" type="noConversion"/>
  </si>
  <si>
    <t>2、初中女子组跳高预决赛11人1组取前6名     　 4:30</t>
    <phoneticPr fontId="9" type="noConversion"/>
  </si>
  <si>
    <t>1、高中女子组跳高预决赛7人1组取前6名     　　　8:30</t>
    <phoneticPr fontId="9" type="noConversion"/>
  </si>
  <si>
    <t>2、高中男子组跳高预决赛6人1组取前5名 　   　　 9:20</t>
    <phoneticPr fontId="9" type="noConversion"/>
  </si>
  <si>
    <t>1、初中女子组铅球预决赛10人1组取前6名     　　　8:30</t>
    <phoneticPr fontId="9" type="noConversion"/>
  </si>
  <si>
    <t>2、初中男子组铅球预决赛12人1组取前6名     　　　9:00</t>
    <phoneticPr fontId="9" type="noConversion"/>
  </si>
  <si>
    <t>第1组</t>
    <phoneticPr fontId="9" type="noConversion"/>
  </si>
  <si>
    <t>道次</t>
    <phoneticPr fontId="9" type="noConversion"/>
  </si>
  <si>
    <t>号码</t>
    <phoneticPr fontId="9" type="noConversion"/>
  </si>
  <si>
    <t>姓名</t>
    <phoneticPr fontId="9" type="noConversion"/>
  </si>
  <si>
    <t>单位</t>
    <phoneticPr fontId="9" type="noConversion"/>
  </si>
  <si>
    <t>成绩</t>
    <phoneticPr fontId="9" type="noConversion"/>
  </si>
  <si>
    <t>备注</t>
    <phoneticPr fontId="9" type="noConversion"/>
  </si>
  <si>
    <t>二</t>
    <phoneticPr fontId="9" type="noConversion"/>
  </si>
  <si>
    <t>实验</t>
    <phoneticPr fontId="9" type="noConversion"/>
  </si>
  <si>
    <t xml:space="preserve">  三</t>
    <phoneticPr fontId="9" type="noConversion"/>
  </si>
  <si>
    <t>城关</t>
    <phoneticPr fontId="9" type="noConversion"/>
  </si>
  <si>
    <t xml:space="preserve">  四</t>
    <phoneticPr fontId="9" type="noConversion"/>
  </si>
  <si>
    <t xml:space="preserve">  五</t>
    <phoneticPr fontId="9" type="noConversion"/>
  </si>
  <si>
    <t xml:space="preserve">  六</t>
    <phoneticPr fontId="9" type="noConversion"/>
  </si>
  <si>
    <t xml:space="preserve">  七  </t>
    <phoneticPr fontId="9" type="noConversion"/>
  </si>
  <si>
    <t>第2组</t>
    <phoneticPr fontId="9" type="noConversion"/>
  </si>
  <si>
    <t>一中</t>
    <phoneticPr fontId="9" type="noConversion"/>
  </si>
  <si>
    <t>二中</t>
    <phoneticPr fontId="9" type="noConversion"/>
  </si>
  <si>
    <t>一</t>
    <phoneticPr fontId="9" type="noConversion"/>
  </si>
  <si>
    <t>李思佳</t>
    <phoneticPr fontId="9" type="noConversion"/>
  </si>
  <si>
    <t xml:space="preserve">  二</t>
    <phoneticPr fontId="9" type="noConversion"/>
  </si>
  <si>
    <t>余菁菁</t>
    <phoneticPr fontId="9" type="noConversion"/>
  </si>
  <si>
    <t>职中</t>
    <phoneticPr fontId="9" type="noConversion"/>
  </si>
  <si>
    <t>邱永生</t>
    <phoneticPr fontId="9" type="noConversion"/>
  </si>
  <si>
    <t>赵显华</t>
    <phoneticPr fontId="9" type="noConversion"/>
  </si>
  <si>
    <t>312a</t>
    <phoneticPr fontId="9" type="noConversion"/>
  </si>
  <si>
    <t>曾子彬</t>
    <phoneticPr fontId="9" type="noConversion"/>
  </si>
  <si>
    <t>邓金辉</t>
    <phoneticPr fontId="9" type="noConversion"/>
  </si>
  <si>
    <t>313a</t>
    <phoneticPr fontId="9" type="noConversion"/>
  </si>
  <si>
    <t>赵文强</t>
    <phoneticPr fontId="9" type="noConversion"/>
  </si>
  <si>
    <t>巫国良</t>
    <phoneticPr fontId="9" type="noConversion"/>
  </si>
  <si>
    <t>郑俊华</t>
    <phoneticPr fontId="9" type="noConversion"/>
  </si>
  <si>
    <t>14初中男子400米预赛14人2组取前８名进决赛     11:00</t>
    <phoneticPr fontId="9" type="noConversion"/>
  </si>
  <si>
    <t>黄煜鹏</t>
    <phoneticPr fontId="9" type="noConversion"/>
  </si>
  <si>
    <t>陈润泽</t>
    <phoneticPr fontId="9" type="noConversion"/>
  </si>
  <si>
    <t>243c</t>
    <phoneticPr fontId="9" type="noConversion"/>
  </si>
  <si>
    <t>邓文亮</t>
    <phoneticPr fontId="9" type="noConversion"/>
  </si>
  <si>
    <t>黄立权</t>
    <phoneticPr fontId="9" type="noConversion"/>
  </si>
  <si>
    <t>253a</t>
    <phoneticPr fontId="9" type="noConversion"/>
  </si>
  <si>
    <t>黄  睿</t>
    <phoneticPr fontId="9" type="noConversion"/>
  </si>
  <si>
    <t>221b</t>
    <phoneticPr fontId="9" type="noConversion"/>
  </si>
  <si>
    <t>陈志伟</t>
    <phoneticPr fontId="9" type="noConversion"/>
  </si>
  <si>
    <t>黄浩轩</t>
    <phoneticPr fontId="9" type="noConversion"/>
  </si>
  <si>
    <t>5、高中男子200米预决赛8人1组取前６名         2:50</t>
    <phoneticPr fontId="9" type="noConversion"/>
  </si>
  <si>
    <t>姜  涛</t>
    <phoneticPr fontId="9" type="noConversion"/>
  </si>
  <si>
    <t xml:space="preserve">  七</t>
    <phoneticPr fontId="9" type="noConversion"/>
  </si>
  <si>
    <t>10高中女子400米预决赛6人1组取前5名         3:15</t>
    <phoneticPr fontId="9" type="noConversion"/>
  </si>
  <si>
    <t>杨海青</t>
    <phoneticPr fontId="9" type="noConversion"/>
  </si>
  <si>
    <t>王莲洁</t>
    <phoneticPr fontId="9" type="noConversion"/>
  </si>
  <si>
    <t>吴丽萍</t>
    <phoneticPr fontId="9" type="noConversion"/>
  </si>
  <si>
    <t>尤雯丽</t>
    <phoneticPr fontId="9" type="noConversion"/>
  </si>
  <si>
    <t>王  璐</t>
    <phoneticPr fontId="9" type="noConversion"/>
  </si>
  <si>
    <t>孙  乐</t>
    <phoneticPr fontId="9" type="noConversion"/>
  </si>
  <si>
    <t>5、高中女子200米预决赛6人1组取前5名         8:50</t>
    <phoneticPr fontId="9" type="noConversion"/>
  </si>
  <si>
    <t>赖丹敏</t>
    <phoneticPr fontId="9" type="noConversion"/>
  </si>
  <si>
    <t>罗秀芳</t>
    <phoneticPr fontId="9" type="noConversion"/>
  </si>
  <si>
    <t>罗笑瑜</t>
    <phoneticPr fontId="9" type="noConversion"/>
  </si>
  <si>
    <t>邹  慧</t>
    <phoneticPr fontId="9" type="noConversion"/>
  </si>
  <si>
    <t>屏山小学1</t>
    <phoneticPr fontId="9" type="noConversion"/>
  </si>
  <si>
    <t>屏山小学2</t>
    <phoneticPr fontId="9" type="noConversion"/>
  </si>
  <si>
    <t>垒球</t>
    <phoneticPr fontId="9" type="noConversion"/>
  </si>
  <si>
    <t>实心球</t>
    <phoneticPr fontId="9" type="noConversion"/>
  </si>
  <si>
    <t>组别：</t>
    <phoneticPr fontId="9" type="noConversion"/>
  </si>
  <si>
    <t>小学组</t>
    <phoneticPr fontId="9" type="noConversion"/>
  </si>
  <si>
    <t>赖银湘</t>
  </si>
  <si>
    <t>女</t>
  </si>
  <si>
    <t>男</t>
  </si>
  <si>
    <t>√</t>
  </si>
  <si>
    <t>曹榕珍</t>
  </si>
  <si>
    <t>黄水勇</t>
    <phoneticPr fontId="9" type="noConversion"/>
  </si>
  <si>
    <t>刘志伟</t>
  </si>
  <si>
    <t>刘专伟</t>
    <phoneticPr fontId="9" type="noConversion"/>
  </si>
  <si>
    <t>傅锡明</t>
  </si>
  <si>
    <t>刘智红</t>
  </si>
  <si>
    <t>V</t>
  </si>
  <si>
    <t>黄飞燕</t>
  </si>
  <si>
    <t>杨金虹</t>
  </si>
  <si>
    <t>姜小浪</t>
  </si>
  <si>
    <t>李佳翃</t>
  </si>
  <si>
    <t>黄惠珍</t>
    <phoneticPr fontId="9" type="noConversion"/>
  </si>
  <si>
    <t>黄飞燕</t>
    <phoneticPr fontId="9" type="noConversion"/>
  </si>
  <si>
    <t>蓝歆源</t>
  </si>
  <si>
    <t>罗娇莲</t>
  </si>
  <si>
    <t>林敦</t>
  </si>
  <si>
    <t>350423201011230029</t>
  </si>
  <si>
    <t>组别:</t>
    <phoneticPr fontId="9" type="noConversion"/>
  </si>
  <si>
    <t>小学组</t>
    <phoneticPr fontId="9" type="noConversion"/>
  </si>
  <si>
    <t>沈丽清</t>
  </si>
  <si>
    <t>林威</t>
  </si>
  <si>
    <t>李梓发</t>
  </si>
  <si>
    <t>杨玉华</t>
  </si>
  <si>
    <t>350423201104145026</t>
  </si>
  <si>
    <t>350423201010285028</t>
  </si>
  <si>
    <t>巫朝明</t>
  </si>
  <si>
    <t>吴生仔</t>
  </si>
  <si>
    <t>赖建辉</t>
  </si>
  <si>
    <t>陈世彬</t>
  </si>
  <si>
    <t>赵义文</t>
  </si>
  <si>
    <t>陈旭明</t>
  </si>
  <si>
    <t>荚清松</t>
  </si>
  <si>
    <t>李华勤</t>
  </si>
  <si>
    <t>陈健斌</t>
  </si>
  <si>
    <t>350423201202032527</t>
  </si>
  <si>
    <t>350423201011172527</t>
  </si>
  <si>
    <t>350423201009142521</t>
  </si>
  <si>
    <t>350423201102032511</t>
  </si>
  <si>
    <t>陈昌标</t>
    <phoneticPr fontId="9" type="noConversion"/>
  </si>
  <si>
    <t>李华勤</t>
    <phoneticPr fontId="9" type="noConversion"/>
  </si>
  <si>
    <t xml:space="preserve"> 王立新        </t>
    <phoneticPr fontId="9" type="noConversion"/>
  </si>
  <si>
    <t>王立新</t>
    <phoneticPr fontId="9" type="noConversion"/>
  </si>
  <si>
    <t>黄智宏</t>
  </si>
  <si>
    <t>吴秋燕</t>
  </si>
  <si>
    <t>邱新强</t>
  </si>
  <si>
    <t>350423200609036525</t>
  </si>
  <si>
    <t>350423200503283528</t>
  </si>
  <si>
    <t>360481200602102820</t>
  </si>
  <si>
    <t>350423200509232510</t>
  </si>
  <si>
    <t>汤锣凤</t>
  </si>
  <si>
    <t>350424200411258014</t>
  </si>
  <si>
    <t>谢文辛</t>
  </si>
  <si>
    <t>涂惠平</t>
  </si>
  <si>
    <t>李远春</t>
  </si>
  <si>
    <t>江民</t>
  </si>
  <si>
    <t>周群杰</t>
  </si>
  <si>
    <t>李敏</t>
  </si>
  <si>
    <t>冯全荣</t>
  </si>
  <si>
    <t>黄杰群</t>
  </si>
  <si>
    <t>温何辉</t>
  </si>
  <si>
    <t>李建华</t>
  </si>
  <si>
    <t>赵鹏华</t>
  </si>
  <si>
    <t>江健威</t>
  </si>
  <si>
    <t>350423200706182014</t>
  </si>
  <si>
    <t>王丹莉</t>
  </si>
  <si>
    <t>上官锦</t>
  </si>
  <si>
    <t>余斌</t>
    <phoneticPr fontId="9" type="noConversion"/>
  </si>
  <si>
    <t>王荣生</t>
  </si>
  <si>
    <t>王荣生</t>
    <phoneticPr fontId="9" type="noConversion"/>
  </si>
  <si>
    <t>谢观勇</t>
  </si>
  <si>
    <t>郑明哲</t>
  </si>
  <si>
    <t>邱逢祥</t>
  </si>
  <si>
    <t>刘显烨</t>
  </si>
  <si>
    <t>温荣辉</t>
    <phoneticPr fontId="9" type="noConversion"/>
  </si>
  <si>
    <t>王卫华</t>
    <phoneticPr fontId="9" type="noConversion"/>
  </si>
  <si>
    <t>江慧娟</t>
    <phoneticPr fontId="9" type="noConversion"/>
  </si>
  <si>
    <t>李清钰</t>
  </si>
  <si>
    <t>黄俊豪</t>
  </si>
  <si>
    <t>毛  宁</t>
  </si>
  <si>
    <t>243b</t>
  </si>
  <si>
    <t>251b</t>
  </si>
  <si>
    <t>252a</t>
  </si>
  <si>
    <t>253b</t>
  </si>
  <si>
    <t>221a</t>
  </si>
  <si>
    <t>313b</t>
  </si>
  <si>
    <t>321b</t>
  </si>
  <si>
    <t>321c</t>
  </si>
  <si>
    <t>322b</t>
  </si>
  <si>
    <t>肖  智</t>
  </si>
  <si>
    <t>李清钰</t>
    <phoneticPr fontId="9" type="noConversion"/>
  </si>
  <si>
    <t>李焱祖</t>
    <phoneticPr fontId="9" type="noConversion"/>
  </si>
  <si>
    <t>江  浩</t>
    <phoneticPr fontId="9" type="noConversion"/>
  </si>
  <si>
    <t>江文峰</t>
    <phoneticPr fontId="9" type="noConversion"/>
  </si>
  <si>
    <t>黄紫梅</t>
    <phoneticPr fontId="9" type="noConversion"/>
  </si>
  <si>
    <t>黄诗涵</t>
    <phoneticPr fontId="9" type="noConversion"/>
  </si>
  <si>
    <t>黄俊豪</t>
    <phoneticPr fontId="9" type="noConversion"/>
  </si>
  <si>
    <t>黄文荣</t>
    <phoneticPr fontId="9" type="noConversion"/>
  </si>
  <si>
    <t>廖聘涓</t>
    <phoneticPr fontId="9" type="noConversion"/>
  </si>
  <si>
    <t>魏林炜</t>
    <phoneticPr fontId="9" type="noConversion"/>
  </si>
  <si>
    <t>邹佳慧</t>
    <phoneticPr fontId="9" type="noConversion"/>
  </si>
  <si>
    <t>叶  婷</t>
    <phoneticPr fontId="9" type="noConversion"/>
  </si>
  <si>
    <t>罗烨梅</t>
    <phoneticPr fontId="9" type="noConversion"/>
  </si>
  <si>
    <t>林煜阳</t>
    <phoneticPr fontId="9" type="noConversion"/>
  </si>
  <si>
    <t>朱雨婷</t>
    <phoneticPr fontId="9" type="noConversion"/>
  </si>
  <si>
    <t>罗鑫斌</t>
    <phoneticPr fontId="9" type="noConversion"/>
  </si>
  <si>
    <t>陈  蕾</t>
    <phoneticPr fontId="9" type="noConversion"/>
  </si>
  <si>
    <t>罗财智</t>
    <phoneticPr fontId="9" type="noConversion"/>
  </si>
  <si>
    <t>221a</t>
    <phoneticPr fontId="9" type="noConversion"/>
  </si>
  <si>
    <t>罗秀芳</t>
    <phoneticPr fontId="9" type="noConversion"/>
  </si>
  <si>
    <t>吴闽琳</t>
    <phoneticPr fontId="9" type="noConversion"/>
  </si>
  <si>
    <t>魏玉婷</t>
    <phoneticPr fontId="9" type="noConversion"/>
  </si>
  <si>
    <t>霍思雅</t>
    <phoneticPr fontId="9" type="noConversion"/>
  </si>
  <si>
    <t>赖金涛</t>
    <phoneticPr fontId="9" type="noConversion"/>
  </si>
  <si>
    <t>林  鑫</t>
    <phoneticPr fontId="9" type="noConversion"/>
  </si>
  <si>
    <t>江宗锦</t>
    <phoneticPr fontId="9" type="noConversion"/>
  </si>
  <si>
    <t>赖沐君</t>
    <phoneticPr fontId="9" type="noConversion"/>
  </si>
  <si>
    <t>上官欣虹</t>
    <phoneticPr fontId="9" type="noConversion"/>
  </si>
  <si>
    <t>王露瑶</t>
    <phoneticPr fontId="9" type="noConversion"/>
  </si>
  <si>
    <t>严筱祈</t>
    <phoneticPr fontId="9" type="noConversion"/>
  </si>
  <si>
    <t>雷思航</t>
    <phoneticPr fontId="9" type="noConversion"/>
  </si>
  <si>
    <t>严  杰</t>
    <phoneticPr fontId="9" type="noConversion"/>
  </si>
  <si>
    <t>赖  荣</t>
    <phoneticPr fontId="9" type="noConversion"/>
  </si>
  <si>
    <t>林善伟</t>
    <phoneticPr fontId="9" type="noConversion"/>
  </si>
  <si>
    <t>罗舒涵</t>
    <phoneticPr fontId="9" type="noConversion"/>
  </si>
  <si>
    <t>罗洪敏</t>
    <phoneticPr fontId="9" type="noConversion"/>
  </si>
  <si>
    <t>吴慧娟</t>
    <phoneticPr fontId="9" type="noConversion"/>
  </si>
  <si>
    <t>赖晓敏</t>
    <phoneticPr fontId="9" type="noConversion"/>
  </si>
  <si>
    <t>周玉川</t>
    <phoneticPr fontId="9" type="noConversion"/>
  </si>
  <si>
    <t>曾庆宏</t>
    <phoneticPr fontId="9" type="noConversion"/>
  </si>
  <si>
    <t>赖治坤</t>
    <phoneticPr fontId="9" type="noConversion"/>
  </si>
  <si>
    <t>林胜章</t>
    <phoneticPr fontId="9" type="noConversion"/>
  </si>
  <si>
    <t>1294,赖婉钰,屏山小学1</t>
  </si>
  <si>
    <t>1281,邹佳慧,屏山小学2</t>
  </si>
  <si>
    <t>1283,吴伊涵,屏山小学2</t>
  </si>
  <si>
    <t>1282,邓欣瑶,屏山小学2</t>
  </si>
  <si>
    <t>1284,李  欣,屏山小学2</t>
  </si>
  <si>
    <t xml:space="preserve">   一     二     三     四     五     六     七  </t>
  </si>
  <si>
    <t>屏山</t>
  </si>
  <si>
    <t xml:space="preserve">  1111   1141   1601   1183   1274   1251   1281 </t>
  </si>
  <si>
    <t xml:space="preserve"> 马紫涵 林智玲 余  静 赖香花 黄艳男 沈  敏 邹佳慧</t>
  </si>
  <si>
    <t xml:space="preserve">  实验   城关   嵩口   赖坊   邓家   余朋   屏山 </t>
  </si>
  <si>
    <t>3、初中女子100米预赛13人2组取前８名进决赛     10:00</t>
    <phoneticPr fontId="9" type="noConversion"/>
  </si>
  <si>
    <t>4、初中男子100米预决赛8人1组取前６名        10:10</t>
    <phoneticPr fontId="9" type="noConversion"/>
  </si>
  <si>
    <t>6、高中男子100米预决赛5人1组取前4名        10:20</t>
  </si>
  <si>
    <t>6、高中男子100米预决赛5人1组取前4名        10:20</t>
    <phoneticPr fontId="9" type="noConversion"/>
  </si>
  <si>
    <t xml:space="preserve">  3119   3127   3128   3137   313b   321b   321c   3227 </t>
  </si>
  <si>
    <t xml:space="preserve"> 林  鑫 雷思航 严  杰 周玉川 林胜章 江  浩 陈鹏辉 罗  伟</t>
  </si>
  <si>
    <t xml:space="preserve">  一中   一中   一中   一中   一中   职中   职中   职中 </t>
  </si>
  <si>
    <t>7、小学女子200米预赛19人3组取前８名进决赛     10:25</t>
    <phoneticPr fontId="9" type="noConversion"/>
  </si>
  <si>
    <t xml:space="preserve">  1112   1141   1601   1182   1274   1233   1251   1281 </t>
  </si>
  <si>
    <t xml:space="preserve"> 彭  乐 林智玲 余  静 沈丽香 黄艳男 邱紫欣 沈  敏 邹佳慧</t>
  </si>
  <si>
    <t xml:space="preserve">  实验   城关   嵩口   赖坊   邓家   林畲   余朋   屏山 </t>
  </si>
  <si>
    <t xml:space="preserve">  1123   1304   1503   1194   1213   1234   1264 </t>
  </si>
  <si>
    <t xml:space="preserve"> 叶欣颖  李清钰 黄雨鑫 李梦瑶 曹榕珍 廖聘涓</t>
  </si>
  <si>
    <t xml:space="preserve">  实验   嵩溪   长校   田源   李家   林畲   里田 </t>
  </si>
  <si>
    <t>8、小学男子200米预赛19人3组取前８名进决赛     10:40</t>
    <phoneticPr fontId="9" type="noConversion"/>
  </si>
  <si>
    <t>9、初中女子200米预决赛8人1组取前６名        10:55</t>
    <phoneticPr fontId="9" type="noConversion"/>
  </si>
  <si>
    <t>10初中男子200米预赛13人2组取前８名进决赛     11:00</t>
  </si>
  <si>
    <t>10初中男子200米预赛13人2组取前８名进决赛     11:00</t>
    <phoneticPr fontId="9" type="noConversion"/>
  </si>
  <si>
    <t>11高中女子400米预赛19人3组取前８名进决赛     11:10</t>
    <phoneticPr fontId="9" type="noConversion"/>
  </si>
  <si>
    <t>12小学男子400米预赛18人3组取前８名进决赛     11:15</t>
    <phoneticPr fontId="9" type="noConversion"/>
  </si>
  <si>
    <t>13小学女子800米预决赛17人1组取前６名       11:30</t>
  </si>
  <si>
    <t>13小学女子800米预决赛17人1组取前６名       11:30</t>
    <phoneticPr fontId="9" type="noConversion"/>
  </si>
  <si>
    <t xml:space="preserve">  1113   1124   1132   1142   1301   1305   1602   1183   1273   1212   1224   1233   1242   1254   1262   1293   1283 </t>
  </si>
  <si>
    <t xml:space="preserve"> 邱雨轩 李佳悦 曹李峥 张煜玲   黄雨宸 赖香花 马依林 林可儿  邱紫欣 温家乐 陈桂花 罗  青 伍智慧 吴伊涵</t>
  </si>
  <si>
    <t xml:space="preserve">  实验   实验   城关   城关   嵩溪   嵩溪   嵩口   赖坊   邓家   李家   沙芜   林畲   温郊   余朋   里田   屏山   屏山 </t>
  </si>
  <si>
    <t>14高中女子中长跑预决赛9人1组取前６名         11:35</t>
    <phoneticPr fontId="9" type="noConversion"/>
  </si>
  <si>
    <t xml:space="preserve">  3115   3126   3132   3134   3211   3213   3224   3226 </t>
  </si>
  <si>
    <t xml:space="preserve"> 魏玉婷 严筱祈 罗舒涵 吴慧娟 罗馨婷 张凤玉 赖佳敏 赵雪花</t>
  </si>
  <si>
    <t xml:space="preserve">  一中   一中   一中   一中   职中   职中   职中   职中 </t>
  </si>
  <si>
    <t>1、高中男子跳远预决赛10人1组取前６名          8:30</t>
  </si>
  <si>
    <t xml:space="preserve">  1115   1126   1128   1137   1146   1607   1505   1508   1186   1278   1218   1225   1227   1245   1256   1266   1296   1287 </t>
  </si>
  <si>
    <t xml:space="preserve"> 马健玮 余宣昱 王思杰 廖景涵 邹林烨 张小明 李天彦 江文峰 上官裕 马肇政 李龙杰 陈祥滨 黄将鸿 黄子凌 黄承彬 廖宇忠 刘子明 邹烨煌</t>
  </si>
  <si>
    <t xml:space="preserve">  实验   实验   实验   城关   城关   嵩口   长校   长校   赖坊   邓家   李家   沙芜   沙芜   温郊   余朋   里田   屏山   屏山 </t>
  </si>
  <si>
    <t>4、小学女子跳远预决赛20人1组取前６名         10:00</t>
    <phoneticPr fontId="9" type="noConversion"/>
  </si>
  <si>
    <t xml:space="preserve">  1112   1121   1133   1144   1302   1306   1603   1501   1201   1181   1272   1214   1223   1231   1232   1243   1252   1261   1292   1282 </t>
  </si>
  <si>
    <t xml:space="preserve"> 彭  乐 余梦琪 曹彦妮 林雨彤   廖佳怡 廖  敏 黄紫梅 林宇欢 邓凌玉 李慧茹 刘忆婷 官雅琪 杨春嵘 王金妍 巫程曦 罗佳怡 赖欣怡 邓欣瑶</t>
  </si>
  <si>
    <t xml:space="preserve">  实验   实验   城关   城关   嵩溪   嵩溪   嵩口   长校   灵地   赖坊   邓家   李家   沙芜   林畲   林畲   温郊   余朋   里田   屏山   屏山 </t>
  </si>
  <si>
    <t>2、初中男子跳高预决赛10人1组取前６名         10:30</t>
    <phoneticPr fontId="9" type="noConversion"/>
  </si>
  <si>
    <t xml:space="preserve">  2419   241c   2428   242a   2439   243a   2517   2518   2528   253a   2218 </t>
  </si>
  <si>
    <t xml:space="preserve"> 刘锦鸿 林宇杭 罗海斌 邹  墨 江鉴雨 赖英林 陈铭伟 邱智涛 李佳凌 温嘉豪 李佳勇</t>
  </si>
  <si>
    <t xml:space="preserve">  城关   城关   城关   城关   城关   城关   实验   实验   实验   实验   一中 </t>
  </si>
  <si>
    <t>三、投掷</t>
  </si>
  <si>
    <t xml:space="preserve">  1114   1122   1134   1143   1303   1306   1604   1608   1504   1202   1184   1192   1211   1222   1234   1244   1253   1263   1291   1284 </t>
  </si>
  <si>
    <t xml:space="preserve"> 程  曦 周乐妍 魏烨榕 晏紫妍   黄慧柃  江春梅 罗妍茜 林伊敏 翁可欣 王斯瑶 赖思怡 曹榕珍 温欣怡 陈思语 罗如清 康琳娜 李  欣</t>
  </si>
  <si>
    <t xml:space="preserve">  实验   实验   城关   城关   嵩溪   嵩溪   嵩口   嵩口   长校   灵地   赖坊   田源   李家   沙芜   林畲   温郊   余朋   里田   屏山   屏山 </t>
  </si>
  <si>
    <t>3、高中女子铅球预决赛7人1组取前6名          10:20</t>
    <phoneticPr fontId="9" type="noConversion"/>
  </si>
  <si>
    <t xml:space="preserve">  3117   311b   312a   312c   3138   3217   322a   322c </t>
  </si>
  <si>
    <t xml:space="preserve"> 赖金涛 江宗锦 林善伟 陈  磊 曾庆宏 邱睿泽 上官天浩 汤锣凤</t>
  </si>
  <si>
    <t xml:space="preserve">  3112   3121   3123   3131   3135   3136   3212   3214   3221   3224   3225 </t>
  </si>
  <si>
    <t xml:space="preserve"> 江美遐 赖沐君 陈欣炎 李雯钰 赖晓敏 赵宇桢 邹  慧 陈淑雯 上官贞 赖佳敏 涂淇娜</t>
  </si>
  <si>
    <t xml:space="preserve">  一中   一中   一中   一中   一中   一中   职中   职中   职中   职中   职中 </t>
  </si>
  <si>
    <t xml:space="preserve">  1114   1122   1134   1143   1302   1307   1604   1608   1504   1204   1184   1193   1211   1222   1244   1253   1263   1291   1284 </t>
  </si>
  <si>
    <t xml:space="preserve"> 程  曦 周乐妍 魏烨榕 晏紫妍   黄慧柃  江春梅 李小清 林伊敏 陈梦琳 王斯瑶 赖思怡 温欣怡 陈思语 罗如清 康琳娜 李  欣</t>
  </si>
  <si>
    <t xml:space="preserve">  实验   实验   城关   城关   嵩溪   嵩溪   嵩口   嵩口   长校   灵地   赖坊   田源   李家   沙芜   温郊   余朋   里田   屏山   屏山 </t>
  </si>
  <si>
    <t>7、初中女子中长跑预决赛8人1组取前６名          9:00</t>
  </si>
  <si>
    <t xml:space="preserve">  2419   241c   2428   242a   2439   243a   2517   2518   2528   253a   2218   2219 </t>
  </si>
  <si>
    <t xml:space="preserve"> 刘锦鸿 林宇杭 罗海斌 邹  墨 江鉴雨 赖英林 陈铭伟 邱智涛 李佳凌 温嘉豪 李佳勇 李佳泓</t>
  </si>
  <si>
    <t xml:space="preserve">  城关   城关   城关   城关   城关   城关   实验   实验   实验   实验   一中   一中 </t>
  </si>
  <si>
    <t>1、高中女子跳高预决赛7人1组取前6名           8:30</t>
  </si>
  <si>
    <t>1、初中女子铅球预决赛10人1组取前６名          8:30</t>
  </si>
  <si>
    <t>5、高中女子100米预赛9人2组取前８名进决赛      10:15</t>
    <phoneticPr fontId="9" type="noConversion"/>
  </si>
  <si>
    <t>第一场　11月29日上午8:30</t>
    <phoneticPr fontId="9" type="noConversion"/>
  </si>
  <si>
    <t>径　赛</t>
    <phoneticPr fontId="9" type="noConversion"/>
  </si>
  <si>
    <t>1、小学女子100米预赛20人3组取前８名进决赛      9:30</t>
    <phoneticPr fontId="9" type="noConversion"/>
  </si>
  <si>
    <t>1)</t>
    <phoneticPr fontId="9" type="noConversion"/>
  </si>
  <si>
    <t>第1组</t>
    <phoneticPr fontId="9" type="noConversion"/>
  </si>
  <si>
    <t>道次</t>
    <phoneticPr fontId="9" type="noConversion"/>
  </si>
  <si>
    <t>号码</t>
    <phoneticPr fontId="9" type="noConversion"/>
  </si>
  <si>
    <t>姓名</t>
    <phoneticPr fontId="9" type="noConversion"/>
  </si>
  <si>
    <t>单位</t>
    <phoneticPr fontId="9" type="noConversion"/>
  </si>
  <si>
    <t>成绩</t>
    <phoneticPr fontId="9" type="noConversion"/>
  </si>
  <si>
    <t>备注</t>
    <phoneticPr fontId="9" type="noConversion"/>
  </si>
  <si>
    <t>一</t>
    <phoneticPr fontId="9" type="noConversion"/>
  </si>
  <si>
    <t>实验</t>
    <phoneticPr fontId="9" type="noConversion"/>
  </si>
  <si>
    <t xml:space="preserve">  二</t>
    <phoneticPr fontId="9" type="noConversion"/>
  </si>
  <si>
    <t>林智玲</t>
    <phoneticPr fontId="9" type="noConversion"/>
  </si>
  <si>
    <t>城关</t>
    <phoneticPr fontId="9" type="noConversion"/>
  </si>
  <si>
    <t xml:space="preserve">  三</t>
    <phoneticPr fontId="9" type="noConversion"/>
  </si>
  <si>
    <t>余  静</t>
    <phoneticPr fontId="9" type="noConversion"/>
  </si>
  <si>
    <t>嵩口</t>
    <phoneticPr fontId="9" type="noConversion"/>
  </si>
  <si>
    <t xml:space="preserve">  四</t>
    <phoneticPr fontId="9" type="noConversion"/>
  </si>
  <si>
    <t>赖坊</t>
    <phoneticPr fontId="9" type="noConversion"/>
  </si>
  <si>
    <t xml:space="preserve">  五</t>
    <phoneticPr fontId="9" type="noConversion"/>
  </si>
  <si>
    <t>黄艳男</t>
    <phoneticPr fontId="9" type="noConversion"/>
  </si>
  <si>
    <t>邓家</t>
    <phoneticPr fontId="9" type="noConversion"/>
  </si>
  <si>
    <t xml:space="preserve">  六</t>
    <phoneticPr fontId="9" type="noConversion"/>
  </si>
  <si>
    <t>沈  敏</t>
    <phoneticPr fontId="9" type="noConversion"/>
  </si>
  <si>
    <t>余朋</t>
    <phoneticPr fontId="9" type="noConversion"/>
  </si>
  <si>
    <t xml:space="preserve">  七  </t>
    <phoneticPr fontId="9" type="noConversion"/>
  </si>
  <si>
    <t>邹佳慧</t>
    <phoneticPr fontId="9" type="noConversion"/>
  </si>
  <si>
    <t>屏山</t>
    <phoneticPr fontId="9" type="noConversion"/>
  </si>
  <si>
    <t>2)</t>
    <phoneticPr fontId="9" type="noConversion"/>
  </si>
  <si>
    <t>第2组</t>
    <phoneticPr fontId="9" type="noConversion"/>
  </si>
  <si>
    <t>余梦琪</t>
    <phoneticPr fontId="9" type="noConversion"/>
  </si>
  <si>
    <t>嵩溪</t>
    <phoneticPr fontId="9" type="noConversion"/>
  </si>
  <si>
    <t>长校</t>
    <phoneticPr fontId="9" type="noConversion"/>
  </si>
  <si>
    <t>廖以菲</t>
    <phoneticPr fontId="9" type="noConversion"/>
  </si>
  <si>
    <t>田源</t>
    <phoneticPr fontId="9" type="noConversion"/>
  </si>
  <si>
    <t>李梦瑶</t>
    <phoneticPr fontId="9" type="noConversion"/>
  </si>
  <si>
    <t>李家</t>
    <phoneticPr fontId="9" type="noConversion"/>
  </si>
  <si>
    <t>廖聘涓</t>
    <phoneticPr fontId="9" type="noConversion"/>
  </si>
  <si>
    <t>里田</t>
    <phoneticPr fontId="9" type="noConversion"/>
  </si>
  <si>
    <t>蔡钦妍</t>
    <phoneticPr fontId="9" type="noConversion"/>
  </si>
  <si>
    <t>3)</t>
    <phoneticPr fontId="9" type="noConversion"/>
  </si>
  <si>
    <t>第3组</t>
    <phoneticPr fontId="9" type="noConversion"/>
  </si>
  <si>
    <t>蓝歆源</t>
    <phoneticPr fontId="9" type="noConversion"/>
  </si>
  <si>
    <t>灵地</t>
    <phoneticPr fontId="9" type="noConversion"/>
  </si>
  <si>
    <t>邓丁香</t>
    <phoneticPr fontId="9" type="noConversion"/>
  </si>
  <si>
    <t>温淑仪</t>
    <phoneticPr fontId="9" type="noConversion"/>
  </si>
  <si>
    <t>温郊</t>
    <phoneticPr fontId="9" type="noConversion"/>
  </si>
  <si>
    <t>赖婉钰</t>
    <phoneticPr fontId="9" type="noConversion"/>
  </si>
  <si>
    <t>雷诗琪</t>
    <phoneticPr fontId="9" type="noConversion"/>
  </si>
  <si>
    <t>2、小学男子100米预赛18人3组取前８名进决赛      9:45</t>
    <phoneticPr fontId="9" type="noConversion"/>
  </si>
  <si>
    <t>葛东炜</t>
    <phoneticPr fontId="9" type="noConversion"/>
  </si>
  <si>
    <t>邱恩祺</t>
    <phoneticPr fontId="9" type="noConversion"/>
  </si>
  <si>
    <t>邓  晨</t>
    <phoneticPr fontId="9" type="noConversion"/>
  </si>
  <si>
    <t>邱鹏宁</t>
    <phoneticPr fontId="9" type="noConversion"/>
  </si>
  <si>
    <t>林畲</t>
    <phoneticPr fontId="9" type="noConversion"/>
  </si>
  <si>
    <t>陈健斌</t>
    <phoneticPr fontId="9" type="noConversion"/>
  </si>
  <si>
    <t xml:space="preserve">  七</t>
    <phoneticPr fontId="9" type="noConversion"/>
  </si>
  <si>
    <t>董张琪</t>
    <phoneticPr fontId="9" type="noConversion"/>
  </si>
  <si>
    <t xml:space="preserve">  八  </t>
    <phoneticPr fontId="9" type="noConversion"/>
  </si>
  <si>
    <t>廖宇忠</t>
    <phoneticPr fontId="9" type="noConversion"/>
  </si>
  <si>
    <t>李佳翃</t>
    <phoneticPr fontId="9" type="noConversion"/>
  </si>
  <si>
    <t>魏王涛</t>
    <phoneticPr fontId="9" type="noConversion"/>
  </si>
  <si>
    <t>上官灿彬</t>
    <phoneticPr fontId="9" type="noConversion"/>
  </si>
  <si>
    <t>赵沙林</t>
    <phoneticPr fontId="9" type="noConversion"/>
  </si>
  <si>
    <t>邱浩宇</t>
    <phoneticPr fontId="9" type="noConversion"/>
  </si>
  <si>
    <t>桂泓请</t>
    <phoneticPr fontId="9" type="noConversion"/>
  </si>
  <si>
    <t>江云烨</t>
    <phoneticPr fontId="9" type="noConversion"/>
  </si>
  <si>
    <t>胡旭尧</t>
    <phoneticPr fontId="9" type="noConversion"/>
  </si>
  <si>
    <t>俞恒椿</t>
    <phoneticPr fontId="9" type="noConversion"/>
  </si>
  <si>
    <t>李新荣</t>
    <phoneticPr fontId="9" type="noConversion"/>
  </si>
  <si>
    <t>温晓坤</t>
    <phoneticPr fontId="9" type="noConversion"/>
  </si>
  <si>
    <t>陈旭明</t>
    <phoneticPr fontId="9" type="noConversion"/>
  </si>
  <si>
    <t>黄志远</t>
    <phoneticPr fontId="9" type="noConversion"/>
  </si>
  <si>
    <t>沙芜</t>
    <phoneticPr fontId="9" type="noConversion"/>
  </si>
  <si>
    <t>3、初中女子100米预赛13人2组取前８名进决赛     10:00</t>
    <phoneticPr fontId="9" type="noConversion"/>
  </si>
  <si>
    <t>4、初中男子100米预决赛8人1组取前６名        10:10</t>
    <phoneticPr fontId="9" type="noConversion"/>
  </si>
  <si>
    <t>2)</t>
    <phoneticPr fontId="9" type="noConversion"/>
  </si>
  <si>
    <t>温何辉</t>
    <phoneticPr fontId="9" type="noConversion"/>
  </si>
  <si>
    <t>陈国伟</t>
    <phoneticPr fontId="9" type="noConversion"/>
  </si>
  <si>
    <t>李佳泓</t>
    <phoneticPr fontId="9" type="noConversion"/>
  </si>
  <si>
    <t>一中</t>
    <phoneticPr fontId="9" type="noConversion"/>
  </si>
  <si>
    <t>杜孝行</t>
    <phoneticPr fontId="9" type="noConversion"/>
  </si>
  <si>
    <t>5、高中女子100米预赛9人2组取前８名进决赛      10:15</t>
    <phoneticPr fontId="9" type="noConversion"/>
  </si>
  <si>
    <t>6、高中男子100米预决赛5人1组取前4名        10:20</t>
    <phoneticPr fontId="9" type="noConversion"/>
  </si>
  <si>
    <t>职中</t>
    <phoneticPr fontId="9" type="noConversion"/>
  </si>
  <si>
    <t>321c</t>
    <phoneticPr fontId="9" type="noConversion"/>
  </si>
  <si>
    <t>陈鹏辉</t>
    <phoneticPr fontId="9" type="noConversion"/>
  </si>
  <si>
    <t>罗  伟</t>
    <phoneticPr fontId="9" type="noConversion"/>
  </si>
  <si>
    <t>7、小学女子200米预赛19人3组取前８名进决赛     10:25</t>
    <phoneticPr fontId="9" type="noConversion"/>
  </si>
  <si>
    <t>彭  乐</t>
    <phoneticPr fontId="9" type="noConversion"/>
  </si>
  <si>
    <t>沈丽香</t>
    <phoneticPr fontId="9" type="noConversion"/>
  </si>
  <si>
    <t>邱紫欣</t>
    <phoneticPr fontId="9" type="noConversion"/>
  </si>
  <si>
    <t xml:space="preserve">  八  </t>
    <phoneticPr fontId="9" type="noConversion"/>
  </si>
  <si>
    <t>屏山</t>
    <phoneticPr fontId="9" type="noConversion"/>
  </si>
  <si>
    <t>叶欣颖</t>
    <phoneticPr fontId="9" type="noConversion"/>
  </si>
  <si>
    <t>黄雨鑫</t>
    <phoneticPr fontId="9" type="noConversion"/>
  </si>
  <si>
    <t>曹榕珍</t>
    <phoneticPr fontId="9" type="noConversion"/>
  </si>
  <si>
    <t xml:space="preserve">  七  </t>
    <phoneticPr fontId="9" type="noConversion"/>
  </si>
  <si>
    <t>里田</t>
    <phoneticPr fontId="9" type="noConversion"/>
  </si>
  <si>
    <t>8、小学男子200米预赛19人3组取前８名进决赛     10:40</t>
    <phoneticPr fontId="9" type="noConversion"/>
  </si>
  <si>
    <t>李铭杰</t>
    <phoneticPr fontId="9" type="noConversion"/>
  </si>
  <si>
    <t>吴佳乐</t>
    <phoneticPr fontId="9" type="noConversion"/>
  </si>
  <si>
    <t>毛  宁</t>
    <phoneticPr fontId="9" type="noConversion"/>
  </si>
  <si>
    <t>阳圣杰</t>
    <phoneticPr fontId="9" type="noConversion"/>
  </si>
  <si>
    <t>凌朝毅</t>
    <phoneticPr fontId="9" type="noConversion"/>
  </si>
  <si>
    <t>9、初中女子200米预决赛8人1组取前６名        10:55</t>
    <phoneticPr fontId="9" type="noConversion"/>
  </si>
  <si>
    <t>10初中男子200米预赛13人2组取前８名进决赛     11:00</t>
    <phoneticPr fontId="9" type="noConversion"/>
  </si>
  <si>
    <t>11高中女子400米预赛19人3组取前８名进决赛     11:10</t>
    <phoneticPr fontId="9" type="noConversion"/>
  </si>
  <si>
    <t>12小学男子400米预赛18人3组取前８名进决赛     11:15</t>
    <phoneticPr fontId="9" type="noConversion"/>
  </si>
  <si>
    <t>13小学女子800米预决赛17人1组取前６名       11:30</t>
    <phoneticPr fontId="9" type="noConversion"/>
  </si>
  <si>
    <t>14高中女子中长跑预决赛9人1组取前６名         11:35</t>
    <phoneticPr fontId="9" type="noConversion"/>
  </si>
  <si>
    <t>田　赛</t>
    <phoneticPr fontId="9" type="noConversion"/>
  </si>
  <si>
    <t>一、跳远</t>
    <phoneticPr fontId="9" type="noConversion"/>
  </si>
  <si>
    <t>1、高中男子跳远预决赛10人1组取前６名          8:30</t>
    <phoneticPr fontId="9" type="noConversion"/>
  </si>
  <si>
    <t>2、高中女子跳远预决赛5人1组取前4名           9:00</t>
    <phoneticPr fontId="9" type="noConversion"/>
  </si>
  <si>
    <t>3、小学男子跳远预决赛18人1组取前６名          9:15</t>
    <phoneticPr fontId="9" type="noConversion"/>
  </si>
  <si>
    <t>4、小学女子跳远预决赛20人1组取前６名         10:00</t>
    <phoneticPr fontId="9" type="noConversion"/>
  </si>
  <si>
    <t>二、跳高</t>
    <phoneticPr fontId="9" type="noConversion"/>
  </si>
  <si>
    <t>1、小学女子跳高预决赛17人1组取前６名          8:30</t>
    <phoneticPr fontId="9" type="noConversion"/>
  </si>
  <si>
    <t>2、初中男子跳高预决赛10人1组取前６名         10:30</t>
    <phoneticPr fontId="9" type="noConversion"/>
  </si>
  <si>
    <t>三、投掷</t>
    <phoneticPr fontId="9" type="noConversion"/>
  </si>
  <si>
    <t>1、小学男子垒球预决赛22人1组取前６名          8:30</t>
    <phoneticPr fontId="9" type="noConversion"/>
  </si>
  <si>
    <t>2、小学女子垒球预决赛16人1组取前６名          9:25</t>
    <phoneticPr fontId="9" type="noConversion"/>
  </si>
  <si>
    <t>3、高中女子铅球预决赛7人1组取前6名          10:20</t>
    <phoneticPr fontId="9" type="noConversion"/>
  </si>
  <si>
    <t>1)</t>
    <phoneticPr fontId="9" type="noConversion"/>
  </si>
  <si>
    <t>4、高中男子铅球预决赛7人1组取前6名          10:45</t>
    <phoneticPr fontId="9" type="noConversion"/>
  </si>
  <si>
    <t>第二场　11月29日下午2:30</t>
    <phoneticPr fontId="9" type="noConversion"/>
  </si>
  <si>
    <t>径　赛</t>
    <phoneticPr fontId="9" type="noConversion"/>
  </si>
  <si>
    <t>小学女子100米决赛8人1组取前6名    2:30</t>
    <phoneticPr fontId="9" type="noConversion"/>
  </si>
  <si>
    <t>小学男子100米决赛8人1组取前6名    2:35</t>
    <phoneticPr fontId="9" type="noConversion"/>
  </si>
  <si>
    <t>初中女子100米决赛8人1组取前6名    2:40</t>
    <phoneticPr fontId="9" type="noConversion"/>
  </si>
  <si>
    <t>初中男子100米决赛8人1组取前6名    2:45</t>
    <phoneticPr fontId="9" type="noConversion"/>
  </si>
  <si>
    <t>5、高中男子200米预决赛7人1组取前6名         2:50</t>
    <phoneticPr fontId="9" type="noConversion"/>
  </si>
  <si>
    <t>小学男子组400米决赛8人1组取前6名     2:55</t>
    <phoneticPr fontId="9" type="noConversion"/>
  </si>
  <si>
    <t>小学男子组400米决赛8人1组取前6名     2:55</t>
    <phoneticPr fontId="9" type="noConversion"/>
  </si>
  <si>
    <t>小学女子组400米决赛8人1组取前6名     3:00</t>
    <phoneticPr fontId="9" type="noConversion"/>
  </si>
  <si>
    <t>小学女子组400米决赛8人1组取前6名     3:00</t>
    <phoneticPr fontId="9" type="noConversion"/>
  </si>
  <si>
    <t>初中女子组400米决赛8人1组取前6名     3:05</t>
    <phoneticPr fontId="9" type="noConversion"/>
  </si>
  <si>
    <t>初中女子组400米决赛8人1组取前6名     3:05</t>
    <phoneticPr fontId="9" type="noConversion"/>
  </si>
  <si>
    <t>初中男子组400米决赛8人1组取前6名     3:10</t>
    <phoneticPr fontId="9" type="noConversion"/>
  </si>
  <si>
    <t>10高中女子400米预决赛7人1组取前6名         3:15</t>
    <phoneticPr fontId="9" type="noConversion"/>
  </si>
  <si>
    <t>11小学男子800米预赛18人2组取前８名进决赛      3:20</t>
    <phoneticPr fontId="9" type="noConversion"/>
  </si>
  <si>
    <t>12高中男子中长跑预决赛6人1组取前5名          3:30</t>
    <phoneticPr fontId="9" type="noConversion"/>
  </si>
  <si>
    <t>13、小学组4×100米混合接力预赛17队3组取前10名决赛 3:40</t>
    <phoneticPr fontId="9" type="noConversion"/>
  </si>
  <si>
    <t>1、初中女子跳远预决赛11人1组取前６名          2:30</t>
    <phoneticPr fontId="9" type="noConversion"/>
  </si>
  <si>
    <t>2、高中女子三级跳预决赛5人1组取前4名          3:05</t>
    <phoneticPr fontId="9" type="noConversion"/>
  </si>
  <si>
    <t>1、小学男子跳高预决赛16人1组取前６名          2:30</t>
    <phoneticPr fontId="9" type="noConversion"/>
  </si>
  <si>
    <t>2、初中女子跳高预决赛11人1组取前６名          4:30</t>
    <phoneticPr fontId="9" type="noConversion"/>
  </si>
  <si>
    <t>1、小学男子实心球预决赛18人1组取前６名         2:30</t>
    <phoneticPr fontId="9" type="noConversion"/>
  </si>
  <si>
    <t>2、小学女子实心球预决赛16人1组取前６名         3:25</t>
    <phoneticPr fontId="9" type="noConversion"/>
  </si>
  <si>
    <t>3、初中男子实心球预决赛9人1组取前６名          4:15</t>
    <phoneticPr fontId="9" type="noConversion"/>
  </si>
  <si>
    <t>4、初中女子实心球预决赛12人1组取前６名         4:50</t>
    <phoneticPr fontId="9" type="noConversion"/>
  </si>
  <si>
    <t>第三场　11月30日上午8:30</t>
    <phoneticPr fontId="9" type="noConversion"/>
  </si>
  <si>
    <t>小学女子组200米决赛8人1组取前6名             8:30</t>
    <phoneticPr fontId="9" type="noConversion"/>
  </si>
  <si>
    <t>小学男子组200米决赛8人1组取前6名             8:35</t>
    <phoneticPr fontId="9" type="noConversion"/>
  </si>
  <si>
    <t>小学男子组200米决赛8人1组取前6名             8:35</t>
    <phoneticPr fontId="9" type="noConversion"/>
  </si>
  <si>
    <t>初中女子组200米决赛8人1组取前6名             8:40</t>
    <phoneticPr fontId="9" type="noConversion"/>
  </si>
  <si>
    <t>初中男子组200米决赛8人1组取前6名             8:45</t>
    <phoneticPr fontId="9" type="noConversion"/>
  </si>
  <si>
    <t>5、高中女子200米预决赛8人1组取前６名         8:50</t>
    <phoneticPr fontId="9" type="noConversion"/>
  </si>
  <si>
    <t>6、高中男子400米预决赛8人1组取前６名         8:55</t>
    <phoneticPr fontId="9" type="noConversion"/>
  </si>
  <si>
    <t>6、高中男子400米预决赛8人1组取前６名         8:55</t>
    <phoneticPr fontId="9" type="noConversion"/>
  </si>
  <si>
    <t>7、初中女子中长跑预决赛8人1组取前６名          9:00</t>
    <phoneticPr fontId="9" type="noConversion"/>
  </si>
  <si>
    <t>8、初中男子中长跑预决赛13人1组取前６名         9:10</t>
    <phoneticPr fontId="9" type="noConversion"/>
  </si>
  <si>
    <t>9、小学组4×100米混合接力决赛10队2组取前8名      9:20</t>
    <phoneticPr fontId="9" type="noConversion"/>
  </si>
  <si>
    <t>10、初中组4×100米混合接力决赛8队1组取前6名     9:30</t>
    <phoneticPr fontId="9" type="noConversion"/>
  </si>
  <si>
    <t>11、高中组4×100米混合接力决赛5队1组取前4名     9:40</t>
    <phoneticPr fontId="9" type="noConversion"/>
  </si>
  <si>
    <t>田　赛</t>
    <phoneticPr fontId="9" type="noConversion"/>
  </si>
  <si>
    <t>1、高中男子三级跳预决赛10人1组取前６名         8:30</t>
    <phoneticPr fontId="9" type="noConversion"/>
  </si>
  <si>
    <t>2、初中男子跳远预决赛10人1组取前６名          8:50</t>
    <phoneticPr fontId="9" type="noConversion"/>
  </si>
  <si>
    <t>1、高中女子跳高预决赛7人1组取前6名           8:30</t>
    <phoneticPr fontId="9" type="noConversion"/>
  </si>
  <si>
    <t>2、高中男子跳高预决赛7人1组取前6名           9:20</t>
    <phoneticPr fontId="9" type="noConversion"/>
  </si>
  <si>
    <t>1、初中女子铅球预决赛10人1组取前６名          8:30</t>
    <phoneticPr fontId="9" type="noConversion"/>
  </si>
  <si>
    <t>2、初中男子铅球预决赛11人1组取前６名          9:00</t>
    <phoneticPr fontId="9" type="noConversion"/>
  </si>
  <si>
    <t>二</t>
    <phoneticPr fontId="9" type="noConversion"/>
  </si>
  <si>
    <t xml:space="preserve">  1121   1304   1503   1191   1213   1264 </t>
  </si>
  <si>
    <t xml:space="preserve"> 余梦琪  李清钰 廖以菲 李梦瑶 廖聘涓</t>
  </si>
  <si>
    <t xml:space="preserve">  实验   嵩溪   长校   田源   李家   里田 </t>
  </si>
  <si>
    <t xml:space="preserve">  1131   1308   1201   1271   1241   1294 </t>
  </si>
  <si>
    <t xml:space="preserve"> 蓝歆源  黄紫梅 邓丁香 温淑仪 赖婉钰</t>
  </si>
  <si>
    <t xml:space="preserve">  城关   嵩溪   灵地   邓家   温郊   屏山 </t>
  </si>
  <si>
    <t xml:space="preserve">  1116   1145   1205   1275   1237   1255   1285 </t>
  </si>
  <si>
    <t xml:space="preserve"> 葛东炜 邱恩祺 黄俊豪 邓  晨 邱鹏宁 陈健斌 董张琪</t>
  </si>
  <si>
    <t xml:space="preserve">  实验   城关   灵地   邓家   林畲   余朋   屏山 </t>
  </si>
  <si>
    <t xml:space="preserve">  1127   1605   1185   1277   1238   1268 </t>
  </si>
  <si>
    <t xml:space="preserve"> 李佳翃 魏王涛 上官灿彬 赵沙林 邱浩宇 桂泓请</t>
  </si>
  <si>
    <t xml:space="preserve">  实验   嵩口   赖坊   邓家   林畲   里田 </t>
  </si>
  <si>
    <t xml:space="preserve">  1136   1506   1198   1217   1247   1297 </t>
  </si>
  <si>
    <t xml:space="preserve"> 胡旭尧 李焱祖 俞恒椿 李新荣 温晓坤 陈旭明</t>
  </si>
  <si>
    <t xml:space="preserve">  城关   长校   田源   李家   温郊   屏山 </t>
  </si>
  <si>
    <t>雷乐星</t>
    <phoneticPr fontId="9" type="noConversion"/>
  </si>
  <si>
    <t>肖诗玮</t>
    <phoneticPr fontId="9" type="noConversion"/>
  </si>
  <si>
    <t>熊  洁</t>
    <phoneticPr fontId="9" type="noConversion"/>
  </si>
  <si>
    <t xml:space="preserve">  2411   2421   2433   2513   2521   2531 </t>
  </si>
  <si>
    <t xml:space="preserve"> 叶  婷 朱雨婷 陈  蕾 雷乐星 肖诗玮 熊  洁</t>
  </si>
  <si>
    <t xml:space="preserve">  城关   城关   城关   实验   实验   实验 </t>
  </si>
  <si>
    <t>李  薇</t>
    <phoneticPr fontId="9" type="noConversion"/>
  </si>
  <si>
    <t>荚艳婷</t>
    <phoneticPr fontId="9" type="noConversion"/>
  </si>
  <si>
    <t>江佳丽</t>
    <phoneticPr fontId="9" type="noConversion"/>
  </si>
  <si>
    <t>沈雨欣</t>
    <phoneticPr fontId="9" type="noConversion"/>
  </si>
  <si>
    <t xml:space="preserve">  2413   2422   2435   2515   2523   2212 </t>
  </si>
  <si>
    <t xml:space="preserve"> 罗烨梅 李  薇 蔡钦妍 荚艳婷 江佳丽 沈雨欣</t>
  </si>
  <si>
    <t xml:space="preserve">  城关   城关   城关   实验   实验   一中 </t>
  </si>
  <si>
    <t>4、初中男子100米预决赛8人1组取前６名        10:10</t>
    <phoneticPr fontId="9" type="noConversion"/>
  </si>
  <si>
    <t xml:space="preserve">   二     三     四     五     六  </t>
  </si>
  <si>
    <t>余一鸣</t>
    <phoneticPr fontId="9" type="noConversion"/>
  </si>
  <si>
    <t>翁成耀</t>
    <phoneticPr fontId="9" type="noConversion"/>
  </si>
  <si>
    <t xml:space="preserve">  六  </t>
    <phoneticPr fontId="9" type="noConversion"/>
  </si>
  <si>
    <t xml:space="preserve">  2417   243b   252a   253b   221a </t>
  </si>
  <si>
    <t xml:space="preserve"> 林煜阳 罗财智 余一鸣 翁成耀 杜孝行</t>
  </si>
  <si>
    <t xml:space="preserve">  城关   城关   实验   实验   一中 </t>
  </si>
  <si>
    <t xml:space="preserve">   三     四     五     六  </t>
  </si>
  <si>
    <t>三</t>
    <phoneticPr fontId="9" type="noConversion"/>
  </si>
  <si>
    <t xml:space="preserve">  2427   2519   2538   2219 </t>
  </si>
  <si>
    <t xml:space="preserve"> 罗鑫斌 温何辉 陈国伟 李佳泓</t>
  </si>
  <si>
    <t xml:space="preserve">  城关   实验   实验   一中 </t>
  </si>
  <si>
    <t>5、高中女子100米预赛9人2组取前８名进决赛      10:15</t>
    <phoneticPr fontId="9" type="noConversion"/>
  </si>
  <si>
    <t>陈淑雯</t>
    <phoneticPr fontId="9" type="noConversion"/>
  </si>
  <si>
    <t xml:space="preserve">  3111   3113   3122   3133   3214 </t>
  </si>
  <si>
    <t xml:space="preserve"> 罗秀芳 吴闽琳 上官欣虹 罗洪敏 陈淑雯</t>
  </si>
  <si>
    <t xml:space="preserve">  一中   一中   一中   一中   职中 </t>
  </si>
  <si>
    <t xml:space="preserve">  1131   1308   1203   1271   1221   1241   1294 </t>
  </si>
  <si>
    <t xml:space="preserve"> 蓝歆源  黄诗涵 邓丁香 赖银湘 温淑仪 赖婉钰</t>
  </si>
  <si>
    <t xml:space="preserve">  城关   嵩溪   灵地   邓家   沙芜   温郊   屏山 </t>
  </si>
  <si>
    <t xml:space="preserve">  1116   1145   1205   1275   1247   1297 </t>
  </si>
  <si>
    <t xml:space="preserve"> 葛东炜 邱恩祺 黄俊豪 邓  晨 温晓坤 陈旭明</t>
  </si>
  <si>
    <t xml:space="preserve">  实验   城关   灵地   邓家   温郊   屏山 </t>
  </si>
  <si>
    <t xml:space="preserve">  1127   1605   1187   1277   1255   1286 </t>
  </si>
  <si>
    <t xml:space="preserve"> 李佳翃 魏王涛 吴佳乐 赵沙林 陈健斌 毛  宁</t>
  </si>
  <si>
    <t xml:space="preserve">  实验   嵩口   赖坊   邓家   余朋   屏山 </t>
  </si>
  <si>
    <t xml:space="preserve">  1136   1506   1196   1217   1267 </t>
  </si>
  <si>
    <t xml:space="preserve"> 胡旭尧 李焱祖 阳圣杰 李新荣 凌朝毅</t>
  </si>
  <si>
    <t xml:space="preserve">  城关   长校   田源   李家   里田 </t>
  </si>
  <si>
    <t xml:space="preserve">  2411   2421   2433   2515   2523   2212 </t>
  </si>
  <si>
    <t xml:space="preserve"> 叶  婷 朱雨婷 陈  蕾 荚艳婷 江佳丽 沈雨欣</t>
  </si>
  <si>
    <t>赖思涵</t>
    <phoneticPr fontId="9" type="noConversion"/>
  </si>
  <si>
    <t xml:space="preserve">  2413   2422   2435   2521   2531   2215 </t>
  </si>
  <si>
    <t xml:space="preserve"> 罗烨梅 李  薇 蔡钦妍 肖诗玮 熊  洁 赖思涵</t>
  </si>
  <si>
    <t>陈培源</t>
    <phoneticPr fontId="9" type="noConversion"/>
  </si>
  <si>
    <t xml:space="preserve">  2417   243b   251b   2538   221a </t>
  </si>
  <si>
    <t xml:space="preserve"> 林煜阳 罗财智 陈培源 陈国伟 杜孝行</t>
  </si>
  <si>
    <t xml:space="preserve">  2427   2519   252a   253b </t>
  </si>
  <si>
    <t xml:space="preserve"> 罗鑫斌 温何辉 余一鸣 翁成耀</t>
  </si>
  <si>
    <t xml:space="preserve">  城关   实验   实验   实验 </t>
  </si>
  <si>
    <t>马晟杰</t>
    <phoneticPr fontId="9" type="noConversion"/>
  </si>
  <si>
    <t>黄晓宇</t>
    <phoneticPr fontId="9" type="noConversion"/>
  </si>
  <si>
    <t>叶志伟</t>
    <phoneticPr fontId="9" type="noConversion"/>
  </si>
  <si>
    <t>邱晨奕</t>
    <phoneticPr fontId="9" type="noConversion"/>
  </si>
  <si>
    <t xml:space="preserve">  1117   1148   1206   1276   1235   1257   1286 </t>
  </si>
  <si>
    <t xml:space="preserve"> 马晟杰 黄晓宇 黄文荣 叶志伟 邱晨奕 江云烨 毛  宁</t>
  </si>
  <si>
    <t>王思杰</t>
    <phoneticPr fontId="9" type="noConversion"/>
  </si>
  <si>
    <t>罗子豪</t>
    <phoneticPr fontId="9" type="noConversion"/>
  </si>
  <si>
    <t>邹水林</t>
    <phoneticPr fontId="9" type="noConversion"/>
  </si>
  <si>
    <t>廖  俊</t>
    <phoneticPr fontId="9" type="noConversion"/>
  </si>
  <si>
    <t xml:space="preserve">  1128   1606   1187   1216   1237   1265 </t>
  </si>
  <si>
    <t xml:space="preserve"> 王思杰 罗子豪 吴佳乐 邹水林 邱鹏宁 廖  俊</t>
  </si>
  <si>
    <t xml:space="preserve">  实验   嵩口   赖坊   李家   林畲   里田 </t>
  </si>
  <si>
    <t>李博威</t>
    <phoneticPr fontId="9" type="noConversion"/>
  </si>
  <si>
    <t>吴新炜</t>
    <phoneticPr fontId="9" type="noConversion"/>
  </si>
  <si>
    <t>陈祥滨</t>
    <phoneticPr fontId="9" type="noConversion"/>
  </si>
  <si>
    <t>温立涵</t>
    <phoneticPr fontId="9" type="noConversion"/>
  </si>
  <si>
    <t xml:space="preserve">  1135   1508   1195   1225   1246   1295 </t>
  </si>
  <si>
    <t xml:space="preserve"> 李博威 江文峰 吴新炜 陈祥滨 温立涵 魏林炜</t>
  </si>
  <si>
    <t xml:space="preserve">  城关   长校   田源   沙芜   温郊   屏山 </t>
  </si>
  <si>
    <t xml:space="preserve">  3118   312b   313a   313c   3217   3218   3229   322a </t>
  </si>
  <si>
    <t xml:space="preserve"> 童家熙 赖志杰 邓  楠 李  阳 邱睿泽 彭毅彬 曹胜豪 上官天浩</t>
  </si>
  <si>
    <t xml:space="preserve">  3114   3116   3124   3125   3131   3212   3222   3226 </t>
  </si>
  <si>
    <t xml:space="preserve"> 荚文芳 霍思雅 廖佳怡 王露瑶 李雯钰 邹  慧 邓  洁 赵雪花</t>
  </si>
  <si>
    <t xml:space="preserve">  1111   1133   1144   1301   1307   1603   1202   1181   1272   1214   1223   1231   1232   1243   1254   1261   1292   1282 </t>
  </si>
  <si>
    <t xml:space="preserve"> 马紫涵 曹彦妮 林雨彤   廖佳怡 罗妍茜 林宇欢 邓凌玉 李慧茹 刘忆婷 官雅琪 杨春嵘 王金妍 陈桂花 罗佳怡 赖欣怡 邓欣瑶</t>
  </si>
  <si>
    <t>350423201009186022</t>
  </si>
  <si>
    <t>350423201103280023</t>
  </si>
  <si>
    <t>350423201102236549</t>
  </si>
  <si>
    <t>350423201010315020</t>
  </si>
  <si>
    <t>35042320101003451X</t>
  </si>
  <si>
    <t>350423201011024516</t>
  </si>
  <si>
    <t>350423201009306530</t>
  </si>
  <si>
    <t>360730201009225011</t>
  </si>
  <si>
    <t>李金祥</t>
  </si>
  <si>
    <t>350423201103121022</t>
  </si>
  <si>
    <t>35042320101110652X</t>
  </si>
  <si>
    <t>350423201109086547</t>
  </si>
  <si>
    <t>350423201011110043</t>
  </si>
  <si>
    <t>35042320100907301X</t>
  </si>
  <si>
    <t>350423201102105514</t>
  </si>
  <si>
    <t>350423201009250012</t>
  </si>
  <si>
    <t>350423201012023531</t>
  </si>
  <si>
    <t>李金祥</t>
    <phoneticPr fontId="9" type="noConversion"/>
  </si>
  <si>
    <t>350423201101070049</t>
  </si>
  <si>
    <t>350424201103174729</t>
  </si>
  <si>
    <t>350423201112200048</t>
  </si>
  <si>
    <t>35042320110224651x</t>
  </si>
  <si>
    <t>350423201111146019</t>
  </si>
  <si>
    <t>350423201109066511</t>
  </si>
  <si>
    <t>350423201101040018</t>
  </si>
  <si>
    <t>徐海华</t>
  </si>
  <si>
    <t>伍新金</t>
  </si>
  <si>
    <t>黄承河</t>
  </si>
  <si>
    <t>陈振发</t>
    <phoneticPr fontId="9" type="noConversion"/>
  </si>
  <si>
    <t>徐海华</t>
    <phoneticPr fontId="9" type="noConversion"/>
  </si>
  <si>
    <t>350423201103025022</t>
  </si>
  <si>
    <t>350423201106274526</t>
  </si>
  <si>
    <t>350423201012120040</t>
  </si>
  <si>
    <t>350423201110191520</t>
  </si>
  <si>
    <t>350423201010067012</t>
  </si>
  <si>
    <t>35042320101029651x</t>
  </si>
  <si>
    <t>350423201012080018</t>
  </si>
  <si>
    <t>350423201009160017</t>
  </si>
  <si>
    <t>陈振发</t>
    <phoneticPr fontId="9" type="noConversion"/>
  </si>
  <si>
    <t>罗娇莲</t>
    <phoneticPr fontId="9" type="noConversion"/>
  </si>
  <si>
    <t>350423201010042042</t>
  </si>
  <si>
    <t>350423201101033520</t>
  </si>
  <si>
    <t>35042320110202102X</t>
  </si>
  <si>
    <t>350423201010221024</t>
  </si>
  <si>
    <t>35042320101115103X</t>
  </si>
  <si>
    <t>350423201106021035</t>
  </si>
  <si>
    <t>350423201104291058</t>
  </si>
  <si>
    <t>350423201011201017</t>
  </si>
  <si>
    <t>邓钦斐</t>
  </si>
  <si>
    <t>黄升华</t>
  </si>
  <si>
    <t>邓钦斐</t>
    <phoneticPr fontId="9" type="noConversion"/>
  </si>
  <si>
    <t>赵义文</t>
    <phoneticPr fontId="9" type="noConversion"/>
  </si>
  <si>
    <t>350423201010195540</t>
  </si>
  <si>
    <t>350423201105215524</t>
  </si>
  <si>
    <t>350423201010145527</t>
  </si>
  <si>
    <t>350423201011075524</t>
  </si>
  <si>
    <t>350423201002215510</t>
  </si>
  <si>
    <t>350423201104175516</t>
  </si>
  <si>
    <t>350423201103065518</t>
  </si>
  <si>
    <t>350423201009115531</t>
  </si>
  <si>
    <t>江慧娟</t>
  </si>
  <si>
    <t>350423201011130044</t>
  </si>
  <si>
    <t>350423201012150063</t>
  </si>
  <si>
    <t>350924201012090041</t>
  </si>
  <si>
    <t>350505201101220142</t>
  </si>
  <si>
    <t>350423201101270016</t>
  </si>
  <si>
    <t>350423201105290030</t>
  </si>
  <si>
    <t>350423201104210019</t>
  </si>
  <si>
    <t>350423201101050056</t>
  </si>
  <si>
    <t>黄水勇</t>
  </si>
  <si>
    <t>罗维维</t>
  </si>
  <si>
    <t>张瑜婷</t>
    <phoneticPr fontId="9" type="noConversion"/>
  </si>
  <si>
    <t>350423201009033528</t>
  </si>
  <si>
    <t>35042320101117352x</t>
  </si>
  <si>
    <t>350423201102213523</t>
  </si>
  <si>
    <t>350423201009223524</t>
  </si>
  <si>
    <t>350423201011033519</t>
  </si>
  <si>
    <t>350423201009155015</t>
  </si>
  <si>
    <t>350423201105213510</t>
  </si>
  <si>
    <t>350423201103303512</t>
  </si>
  <si>
    <t>赖金文</t>
    <phoneticPr fontId="9" type="noConversion"/>
  </si>
  <si>
    <t xml:space="preserve">	350423201108227029</t>
  </si>
  <si>
    <t xml:space="preserve">	350423201011097029</t>
  </si>
  <si>
    <t xml:space="preserve">	350423201101127025</t>
  </si>
  <si>
    <t xml:space="preserve">	350423201106126523</t>
  </si>
  <si>
    <t xml:space="preserve">	350423201101297016</t>
  </si>
  <si>
    <t xml:space="preserve">	350423201106267019</t>
  </si>
  <si>
    <t xml:space="preserve">	350423201105093010</t>
  </si>
  <si>
    <t xml:space="preserve">	350628201112015013</t>
  </si>
  <si>
    <t>黄润辉</t>
    <phoneticPr fontId="9" type="noConversion"/>
  </si>
  <si>
    <t>350423201112084526</t>
  </si>
  <si>
    <t>350423201106014521</t>
  </si>
  <si>
    <t>350423201012190065</t>
  </si>
  <si>
    <t>511725201009157563</t>
  </si>
  <si>
    <t>350423201104204532</t>
  </si>
  <si>
    <t>350423201010074511</t>
  </si>
  <si>
    <t>350423201009144519</t>
  </si>
  <si>
    <t>350423201101114515</t>
  </si>
  <si>
    <t>黄朝阳</t>
  </si>
  <si>
    <t>李镔澎</t>
  </si>
  <si>
    <t>黄朝阳</t>
    <phoneticPr fontId="9" type="noConversion"/>
  </si>
  <si>
    <t>350423201110165023</t>
  </si>
  <si>
    <t>35042320110606502X</t>
  </si>
  <si>
    <t>350423201010145017</t>
  </si>
  <si>
    <t>350423201109265019</t>
  </si>
  <si>
    <t>350423201208315018</t>
  </si>
  <si>
    <t>350423201102095010</t>
  </si>
  <si>
    <t>350423201110173023</t>
  </si>
  <si>
    <t>350423201012090064</t>
  </si>
  <si>
    <t>350423201106013027</t>
  </si>
  <si>
    <t>350423201202033028</t>
  </si>
  <si>
    <t>350423201012013018</t>
  </si>
  <si>
    <t>350423201012283018</t>
  </si>
  <si>
    <t>350423201009133019</t>
  </si>
  <si>
    <t>350423201206153019</t>
  </si>
  <si>
    <t>荚婧瑞</t>
    <phoneticPr fontId="9" type="noConversion"/>
  </si>
  <si>
    <t>350423201103081526</t>
  </si>
  <si>
    <t>35042320110727152X</t>
  </si>
  <si>
    <t>350423201109281529</t>
  </si>
  <si>
    <t>350423201208061521</t>
  </si>
  <si>
    <t>350423201009221510</t>
  </si>
  <si>
    <t>350423201101101511</t>
  </si>
  <si>
    <t>350423201203141514</t>
  </si>
  <si>
    <t>350423201102161532</t>
  </si>
  <si>
    <t>杨森云</t>
  </si>
  <si>
    <t>杨青华</t>
    <phoneticPr fontId="9" type="noConversion"/>
  </si>
  <si>
    <t>杨森云</t>
    <phoneticPr fontId="9" type="noConversion"/>
  </si>
  <si>
    <t>350423201107102021</t>
  </si>
  <si>
    <t>35030520100921112X</t>
  </si>
  <si>
    <t>350423201012232026</t>
  </si>
  <si>
    <t>350423201009152025</t>
  </si>
  <si>
    <t>350423201103312013</t>
  </si>
  <si>
    <t>350423201107102013</t>
  </si>
  <si>
    <t>522401201010300895</t>
  </si>
  <si>
    <t>350423201105092018</t>
  </si>
  <si>
    <t>350423201207212527</t>
  </si>
  <si>
    <t>350423201012162515</t>
  </si>
  <si>
    <t>350423201201272510</t>
  </si>
  <si>
    <t>350423201112132516</t>
  </si>
  <si>
    <t>陈昇</t>
  </si>
  <si>
    <t>陈昇</t>
    <phoneticPr fontId="9" type="noConversion"/>
  </si>
  <si>
    <t xml:space="preserve">	350424201203017720</t>
  </si>
  <si>
    <t xml:space="preserve">	350423201012036025</t>
  </si>
  <si>
    <t xml:space="preserve">	350423201011096069</t>
  </si>
  <si>
    <t xml:space="preserve">	350423201009076025</t>
  </si>
  <si>
    <t xml:space="preserve">	350423201010176016</t>
  </si>
  <si>
    <t xml:space="preserve">	350423201009306012</t>
  </si>
  <si>
    <t xml:space="preserve">	350423201108296016</t>
  </si>
  <si>
    <t xml:space="preserve">	350423201009246013</t>
  </si>
  <si>
    <t>廖箕禄</t>
  </si>
  <si>
    <t>廖基禄</t>
    <phoneticPr fontId="9" type="noConversion"/>
  </si>
  <si>
    <t>350423201011176528</t>
  </si>
  <si>
    <t>350423201012094524</t>
  </si>
  <si>
    <t>350322201107211525</t>
  </si>
  <si>
    <t>350423201102265526</t>
  </si>
  <si>
    <t>350423201107235510</t>
  </si>
  <si>
    <t>350423201009165010</t>
  </si>
  <si>
    <t>350423201011277011</t>
  </si>
  <si>
    <t>350423201010081017</t>
  </si>
  <si>
    <t>吴少平</t>
  </si>
  <si>
    <t>张助荣</t>
    <phoneticPr fontId="9" type="noConversion"/>
  </si>
  <si>
    <t>陈世彬</t>
    <phoneticPr fontId="9" type="noConversion"/>
  </si>
  <si>
    <t>350423201010275524</t>
  </si>
  <si>
    <t>350423201108305023</t>
  </si>
  <si>
    <t>350423201011266523</t>
  </si>
  <si>
    <t>350423201010173528</t>
  </si>
  <si>
    <t>350423201102260012</t>
  </si>
  <si>
    <t>350423201107275010</t>
  </si>
  <si>
    <t>350423201009282014</t>
  </si>
  <si>
    <t>350423201010196519</t>
  </si>
  <si>
    <t>张助荣</t>
    <phoneticPr fontId="9" type="noConversion"/>
  </si>
  <si>
    <t>赖建辉</t>
    <phoneticPr fontId="9" type="noConversion"/>
  </si>
  <si>
    <t>龙津小学1</t>
    <phoneticPr fontId="9" type="noConversion"/>
  </si>
  <si>
    <t>龙津小学2</t>
    <phoneticPr fontId="9" type="noConversion"/>
  </si>
  <si>
    <t>350423201102275521</t>
    <phoneticPr fontId="9" type="noConversion"/>
  </si>
  <si>
    <t>350423201010286522</t>
    <phoneticPr fontId="9" type="noConversion"/>
  </si>
  <si>
    <t>350423201103310026</t>
    <phoneticPr fontId="9" type="noConversion"/>
  </si>
  <si>
    <t>350423201101290025</t>
    <phoneticPr fontId="9" type="noConversion"/>
  </si>
  <si>
    <t>350423201103045517</t>
    <phoneticPr fontId="9" type="noConversion"/>
  </si>
  <si>
    <t>361125201010061410</t>
    <phoneticPr fontId="9" type="noConversion"/>
  </si>
  <si>
    <t>350423201012200032</t>
    <phoneticPr fontId="9" type="noConversion"/>
  </si>
  <si>
    <t>350423201106067017</t>
    <phoneticPr fontId="9" type="noConversion"/>
  </si>
  <si>
    <t>李慧琴</t>
    <phoneticPr fontId="9" type="noConversion"/>
  </si>
  <si>
    <r>
      <t xml:space="preserve"> </t>
    </r>
    <r>
      <rPr>
        <sz val="9"/>
        <rFont val="宋体"/>
        <family val="3"/>
        <charset val="134"/>
      </rPr>
      <t xml:space="preserve">  </t>
    </r>
    <r>
      <rPr>
        <sz val="9"/>
        <rFont val="宋体"/>
        <family val="3"/>
        <charset val="134"/>
      </rPr>
      <t>√</t>
    </r>
    <phoneticPr fontId="9" type="noConversion"/>
  </si>
  <si>
    <t xml:space="preserve">   √</t>
    <phoneticPr fontId="9" type="noConversion"/>
  </si>
  <si>
    <t>邹德聪</t>
    <phoneticPr fontId="9" type="noConversion"/>
  </si>
  <si>
    <t>林钟慧</t>
    <phoneticPr fontId="9" type="noConversion"/>
  </si>
  <si>
    <t>李慧琴</t>
  </si>
  <si>
    <t>马  奎</t>
    <phoneticPr fontId="9" type="noConversion"/>
  </si>
  <si>
    <t>郑明哲</t>
    <phoneticPr fontId="9" type="noConversion"/>
  </si>
  <si>
    <t>何英萍</t>
    <phoneticPr fontId="9" type="noConversion"/>
  </si>
  <si>
    <t>郑明哲</t>
    <phoneticPr fontId="9" type="noConversion"/>
  </si>
  <si>
    <t>350423201011210028</t>
    <phoneticPr fontId="9" type="noConversion"/>
  </si>
  <si>
    <t>350423201009174523</t>
    <phoneticPr fontId="9" type="noConversion"/>
  </si>
  <si>
    <t>350423201011141026</t>
    <phoneticPr fontId="9" type="noConversion"/>
  </si>
  <si>
    <t>350423201105105528</t>
    <phoneticPr fontId="9" type="noConversion"/>
  </si>
  <si>
    <t>350423201101204510</t>
    <phoneticPr fontId="9" type="noConversion"/>
  </si>
  <si>
    <t>350423201111020010</t>
    <phoneticPr fontId="9" type="noConversion"/>
  </si>
  <si>
    <t>350423201107026516</t>
    <phoneticPr fontId="9" type="noConversion"/>
  </si>
  <si>
    <t>马  奎</t>
  </si>
  <si>
    <t>350423201008164526</t>
    <phoneticPr fontId="9" type="noConversion"/>
  </si>
  <si>
    <r>
      <t>3</t>
    </r>
    <r>
      <rPr>
        <sz val="9"/>
        <rFont val="宋体"/>
        <family val="3"/>
        <charset val="134"/>
      </rPr>
      <t>50423200709196526</t>
    </r>
    <phoneticPr fontId="9" type="noConversion"/>
  </si>
  <si>
    <r>
      <t>3504232008120</t>
    </r>
    <r>
      <rPr>
        <sz val="9"/>
        <rFont val="宋体"/>
        <family val="3"/>
        <charset val="134"/>
      </rPr>
      <t>36</t>
    </r>
    <r>
      <rPr>
        <sz val="9"/>
        <rFont val="宋体"/>
        <family val="3"/>
        <charset val="134"/>
      </rPr>
      <t>520</t>
    </r>
    <phoneticPr fontId="9" type="noConversion"/>
  </si>
  <si>
    <r>
      <t>3</t>
    </r>
    <r>
      <rPr>
        <sz val="9"/>
        <rFont val="宋体"/>
        <family val="3"/>
        <charset val="134"/>
      </rPr>
      <t>50423200810076545</t>
    </r>
    <phoneticPr fontId="9" type="noConversion"/>
  </si>
  <si>
    <t>350423200806164526</t>
    <phoneticPr fontId="9" type="noConversion"/>
  </si>
  <si>
    <r>
      <t>3</t>
    </r>
    <r>
      <rPr>
        <sz val="9"/>
        <rFont val="宋体"/>
        <family val="3"/>
        <charset val="134"/>
      </rPr>
      <t>50423200912230048</t>
    </r>
    <phoneticPr fontId="9" type="noConversion"/>
  </si>
  <si>
    <r>
      <t>3</t>
    </r>
    <r>
      <rPr>
        <sz val="9"/>
        <rFont val="宋体"/>
        <family val="3"/>
        <charset val="134"/>
      </rPr>
      <t>50423200710106516</t>
    </r>
    <phoneticPr fontId="9" type="noConversion"/>
  </si>
  <si>
    <r>
      <t>3</t>
    </r>
    <r>
      <rPr>
        <sz val="9"/>
        <rFont val="宋体"/>
        <family val="3"/>
        <charset val="134"/>
      </rPr>
      <t>50423200801306513</t>
    </r>
    <phoneticPr fontId="9" type="noConversion"/>
  </si>
  <si>
    <t>女</t>
    <phoneticPr fontId="9" type="noConversion"/>
  </si>
  <si>
    <t>罗仙梅</t>
    <phoneticPr fontId="9" type="noConversion"/>
  </si>
  <si>
    <t>谢观勇</t>
    <phoneticPr fontId="9" type="noConversion"/>
  </si>
  <si>
    <t>巫秀娟</t>
    <phoneticPr fontId="9" type="noConversion"/>
  </si>
  <si>
    <t>√</t>
    <phoneticPr fontId="9" type="noConversion"/>
  </si>
  <si>
    <t>男</t>
    <phoneticPr fontId="9" type="noConversion"/>
  </si>
  <si>
    <r>
      <t>350423200</t>
    </r>
    <r>
      <rPr>
        <sz val="9"/>
        <rFont val="宋体"/>
        <family val="3"/>
        <charset val="134"/>
      </rPr>
      <t>71009501X</t>
    </r>
    <phoneticPr fontId="9" type="noConversion"/>
  </si>
  <si>
    <r>
      <t>3</t>
    </r>
    <r>
      <rPr>
        <sz val="9"/>
        <rFont val="宋体"/>
        <family val="3"/>
        <charset val="134"/>
      </rPr>
      <t>50423200802103515</t>
    </r>
    <phoneticPr fontId="9" type="noConversion"/>
  </si>
  <si>
    <r>
      <t>3</t>
    </r>
    <r>
      <rPr>
        <sz val="9"/>
        <rFont val="宋体"/>
        <family val="3"/>
        <charset val="134"/>
      </rPr>
      <t>50423200804256515</t>
    </r>
    <phoneticPr fontId="9" type="noConversion"/>
  </si>
  <si>
    <r>
      <t>3</t>
    </r>
    <r>
      <rPr>
        <sz val="9"/>
        <rFont val="宋体"/>
        <family val="3"/>
        <charset val="134"/>
      </rPr>
      <t>50426200807236017</t>
    </r>
    <phoneticPr fontId="9" type="noConversion"/>
  </si>
  <si>
    <r>
      <t>3</t>
    </r>
    <r>
      <rPr>
        <sz val="9"/>
        <rFont val="宋体"/>
        <family val="3"/>
        <charset val="134"/>
      </rPr>
      <t>50423200902225528</t>
    </r>
    <phoneticPr fontId="9" type="noConversion"/>
  </si>
  <si>
    <r>
      <t>3504232</t>
    </r>
    <r>
      <rPr>
        <sz val="9"/>
        <rFont val="宋体"/>
        <family val="3"/>
        <charset val="134"/>
      </rPr>
      <t>00712276527</t>
    </r>
    <phoneticPr fontId="9" type="noConversion"/>
  </si>
  <si>
    <r>
      <t>3</t>
    </r>
    <r>
      <rPr>
        <sz val="9"/>
        <rFont val="宋体"/>
        <family val="3"/>
        <charset val="134"/>
      </rPr>
      <t>50423200810076027</t>
    </r>
    <phoneticPr fontId="9" type="noConversion"/>
  </si>
  <si>
    <t>350423200712256526</t>
    <phoneticPr fontId="9" type="noConversion"/>
  </si>
  <si>
    <r>
      <t>350423200</t>
    </r>
    <r>
      <rPr>
        <sz val="9"/>
        <rFont val="宋体"/>
        <family val="3"/>
        <charset val="134"/>
      </rPr>
      <t>711205022</t>
    </r>
    <phoneticPr fontId="9" type="noConversion"/>
  </si>
  <si>
    <t>350423200904306524</t>
    <phoneticPr fontId="9" type="noConversion"/>
  </si>
  <si>
    <r>
      <t>3</t>
    </r>
    <r>
      <rPr>
        <sz val="9"/>
        <rFont val="宋体"/>
        <family val="3"/>
        <charset val="134"/>
      </rPr>
      <t>50423200903312519</t>
    </r>
    <phoneticPr fontId="9" type="noConversion"/>
  </si>
  <si>
    <t>350423200709285013</t>
    <phoneticPr fontId="9" type="noConversion"/>
  </si>
  <si>
    <r>
      <t>3</t>
    </r>
    <r>
      <rPr>
        <sz val="9"/>
        <rFont val="宋体"/>
        <family val="3"/>
        <charset val="134"/>
      </rPr>
      <t>50423200809041011</t>
    </r>
    <phoneticPr fontId="9" type="noConversion"/>
  </si>
  <si>
    <r>
      <t>350423200</t>
    </r>
    <r>
      <rPr>
        <sz val="9"/>
        <rFont val="宋体"/>
        <family val="3"/>
        <charset val="134"/>
      </rPr>
      <t>709253519</t>
    </r>
    <phoneticPr fontId="9" type="noConversion"/>
  </si>
  <si>
    <t>350423200709275013</t>
    <phoneticPr fontId="9" type="noConversion"/>
  </si>
  <si>
    <r>
      <t>3</t>
    </r>
    <r>
      <rPr>
        <sz val="9"/>
        <rFont val="宋体"/>
        <family val="3"/>
        <charset val="134"/>
      </rPr>
      <t>50423200804282019</t>
    </r>
    <phoneticPr fontId="9" type="noConversion"/>
  </si>
  <si>
    <t>巫秀娟</t>
    <phoneticPr fontId="9" type="noConversion"/>
  </si>
  <si>
    <r>
      <t>3</t>
    </r>
    <r>
      <rPr>
        <sz val="9"/>
        <rFont val="宋体"/>
        <family val="3"/>
        <charset val="134"/>
      </rPr>
      <t>5042320080623554x</t>
    </r>
    <phoneticPr fontId="9" type="noConversion"/>
  </si>
  <si>
    <r>
      <t>3</t>
    </r>
    <r>
      <rPr>
        <sz val="9"/>
        <rFont val="宋体"/>
        <family val="3"/>
        <charset val="134"/>
      </rPr>
      <t>50423200912266526</t>
    </r>
    <phoneticPr fontId="9" type="noConversion"/>
  </si>
  <si>
    <r>
      <t>3</t>
    </r>
    <r>
      <rPr>
        <sz val="9"/>
        <rFont val="宋体"/>
        <family val="3"/>
        <charset val="134"/>
      </rPr>
      <t>50423200711297027</t>
    </r>
    <phoneticPr fontId="9" type="noConversion"/>
  </si>
  <si>
    <r>
      <t>3</t>
    </r>
    <r>
      <rPr>
        <sz val="9"/>
        <rFont val="宋体"/>
        <family val="3"/>
        <charset val="134"/>
      </rPr>
      <t>50423200901046528</t>
    </r>
    <phoneticPr fontId="9" type="noConversion"/>
  </si>
  <si>
    <r>
      <t>3504232009</t>
    </r>
    <r>
      <rPr>
        <sz val="9"/>
        <rFont val="宋体"/>
        <family val="3"/>
        <charset val="134"/>
      </rPr>
      <t>11105026</t>
    </r>
    <phoneticPr fontId="9" type="noConversion"/>
  </si>
  <si>
    <r>
      <t>350423200</t>
    </r>
    <r>
      <rPr>
        <sz val="9"/>
        <rFont val="宋体"/>
        <family val="3"/>
        <charset val="134"/>
      </rPr>
      <t>801145529</t>
    </r>
    <phoneticPr fontId="9" type="noConversion"/>
  </si>
  <si>
    <r>
      <t>3</t>
    </r>
    <r>
      <rPr>
        <sz val="9"/>
        <rFont val="宋体"/>
        <family val="3"/>
        <charset val="134"/>
      </rPr>
      <t>5042320090223001x</t>
    </r>
    <phoneticPr fontId="9" type="noConversion"/>
  </si>
  <si>
    <r>
      <t>3</t>
    </r>
    <r>
      <rPr>
        <sz val="9"/>
        <rFont val="宋体"/>
        <family val="3"/>
        <charset val="134"/>
      </rPr>
      <t>50423200812216011</t>
    </r>
    <phoneticPr fontId="9" type="noConversion"/>
  </si>
  <si>
    <r>
      <t>3</t>
    </r>
    <r>
      <rPr>
        <sz val="9"/>
        <rFont val="宋体"/>
        <family val="3"/>
        <charset val="134"/>
      </rPr>
      <t>50423200809043519</t>
    </r>
    <phoneticPr fontId="9" type="noConversion"/>
  </si>
  <si>
    <r>
      <t>3</t>
    </r>
    <r>
      <rPr>
        <sz val="9"/>
        <rFont val="宋体"/>
        <family val="3"/>
        <charset val="134"/>
      </rPr>
      <t>50423200802093513</t>
    </r>
    <phoneticPr fontId="9" type="noConversion"/>
  </si>
  <si>
    <r>
      <t>3</t>
    </r>
    <r>
      <rPr>
        <sz val="9"/>
        <rFont val="宋体"/>
        <family val="3"/>
        <charset val="134"/>
      </rPr>
      <t>50423200911294517</t>
    </r>
    <phoneticPr fontId="9" type="noConversion"/>
  </si>
  <si>
    <t>35042320080104551X</t>
    <phoneticPr fontId="9" type="noConversion"/>
  </si>
  <si>
    <t>罗仙梅</t>
    <phoneticPr fontId="9" type="noConversion"/>
  </si>
  <si>
    <t>350424201002097760</t>
  </si>
  <si>
    <t>350423200908266523</t>
  </si>
  <si>
    <t>350423200711160020</t>
  </si>
  <si>
    <t>350423200906106024</t>
  </si>
  <si>
    <t>350423200805232523</t>
  </si>
  <si>
    <t>350423201006130023</t>
  </si>
  <si>
    <t>350423200805131036</t>
  </si>
  <si>
    <t xml:space="preserve">    V</t>
  </si>
  <si>
    <t>官昌威</t>
  </si>
  <si>
    <t>魏启先</t>
  </si>
  <si>
    <t>350423200810182014</t>
  </si>
  <si>
    <t>350423200712286514</t>
  </si>
  <si>
    <t>350423200712013516</t>
  </si>
  <si>
    <t>35042320080404503X</t>
  </si>
  <si>
    <t>江健威</t>
    <phoneticPr fontId="9" type="noConversion"/>
  </si>
  <si>
    <t>江健威</t>
    <phoneticPr fontId="9" type="noConversion"/>
  </si>
  <si>
    <t>350423200807012524</t>
  </si>
  <si>
    <t>350423200908280026</t>
  </si>
  <si>
    <t>350423200712305527</t>
  </si>
  <si>
    <t>350423200805283523</t>
  </si>
  <si>
    <t>350423200709195523</t>
  </si>
  <si>
    <t>350423200911213027</t>
  </si>
  <si>
    <t>350423200711161015</t>
  </si>
  <si>
    <t>350423200709145512</t>
  </si>
  <si>
    <t>350423200709101014</t>
  </si>
  <si>
    <t>350423200806076518</t>
  </si>
  <si>
    <t>350423200805267013</t>
  </si>
  <si>
    <t>350423200710284515</t>
  </si>
  <si>
    <t>李远春</t>
    <phoneticPr fontId="9" type="noConversion"/>
  </si>
  <si>
    <t>350423200711070041</t>
  </si>
  <si>
    <t>350722200805070624</t>
  </si>
  <si>
    <t>350423200902246521</t>
  </si>
  <si>
    <t>350423200905195563</t>
  </si>
  <si>
    <t>350423200901312021</t>
  </si>
  <si>
    <t>350423200709205023</t>
  </si>
  <si>
    <t>350423200805227011</t>
  </si>
  <si>
    <t>350423200908160016</t>
  </si>
  <si>
    <t xml:space="preserve"> V</t>
  </si>
  <si>
    <t>350423200806261510</t>
  </si>
  <si>
    <t>350423200710010012</t>
  </si>
  <si>
    <t>350423201004194533</t>
  </si>
  <si>
    <t xml:space="preserve"> 350423200707125038</t>
  </si>
  <si>
    <t>冯全荣</t>
    <phoneticPr fontId="9" type="noConversion"/>
  </si>
  <si>
    <t>龙津初中1</t>
    <phoneticPr fontId="9" type="noConversion"/>
  </si>
  <si>
    <t>350423200912136529</t>
    <phoneticPr fontId="9" type="noConversion"/>
  </si>
  <si>
    <t>350423200810215525</t>
    <phoneticPr fontId="9" type="noConversion"/>
  </si>
  <si>
    <t>35042420100303354x</t>
    <phoneticPr fontId="9" type="noConversion"/>
  </si>
  <si>
    <t>350423200901255522</t>
    <phoneticPr fontId="9" type="noConversion"/>
  </si>
  <si>
    <t>35012520090909040063</t>
    <phoneticPr fontId="9" type="noConversion"/>
  </si>
  <si>
    <t>350423200911046521</t>
    <phoneticPr fontId="9" type="noConversion"/>
  </si>
  <si>
    <t>350423200709071010</t>
    <phoneticPr fontId="9" type="noConversion"/>
  </si>
  <si>
    <t>350423200711025013</t>
    <phoneticPr fontId="9" type="noConversion"/>
  </si>
  <si>
    <t xml:space="preserve">江祖斌 </t>
  </si>
  <si>
    <t>✓</t>
  </si>
  <si>
    <t>赖雄才</t>
    <phoneticPr fontId="9" type="noConversion"/>
  </si>
  <si>
    <t>罗秋香</t>
    <phoneticPr fontId="9" type="noConversion"/>
  </si>
  <si>
    <t>严永雄</t>
    <phoneticPr fontId="9" type="noConversion"/>
  </si>
  <si>
    <t>江祖斌</t>
    <phoneticPr fontId="9" type="noConversion"/>
  </si>
  <si>
    <t>钟家龙</t>
    <phoneticPr fontId="9" type="noConversion"/>
  </si>
  <si>
    <t>✓</t>
    <phoneticPr fontId="9" type="noConversion"/>
  </si>
  <si>
    <t>350423200801120516</t>
    <phoneticPr fontId="9" type="noConversion"/>
  </si>
  <si>
    <t>350423200712017015</t>
    <phoneticPr fontId="9" type="noConversion"/>
  </si>
  <si>
    <t>350423200709196534</t>
    <phoneticPr fontId="9" type="noConversion"/>
  </si>
  <si>
    <t>350423200810223517</t>
    <phoneticPr fontId="9" type="noConversion"/>
  </si>
  <si>
    <t>何英萍</t>
    <phoneticPr fontId="9" type="noConversion"/>
  </si>
  <si>
    <t>龙津初中2</t>
    <phoneticPr fontId="9" type="noConversion"/>
  </si>
  <si>
    <t>350423200802106521</t>
    <phoneticPr fontId="9" type="noConversion"/>
  </si>
  <si>
    <t>350423200807201528</t>
    <phoneticPr fontId="9" type="noConversion"/>
  </si>
  <si>
    <t>350423200905056029</t>
    <phoneticPr fontId="9" type="noConversion"/>
  </si>
  <si>
    <t>350423201006276540</t>
    <phoneticPr fontId="9" type="noConversion"/>
  </si>
  <si>
    <t>350423200901310026</t>
    <phoneticPr fontId="9" type="noConversion"/>
  </si>
  <si>
    <t>350423200812125021</t>
    <phoneticPr fontId="9" type="noConversion"/>
  </si>
  <si>
    <t>350423200809021010</t>
    <phoneticPr fontId="9" type="noConversion"/>
  </si>
  <si>
    <t>350423200712300096</t>
    <phoneticPr fontId="9" type="noConversion"/>
  </si>
  <si>
    <t>350423200812210015</t>
    <phoneticPr fontId="9" type="noConversion"/>
  </si>
  <si>
    <t>350423200712140515</t>
    <phoneticPr fontId="9" type="noConversion"/>
  </si>
  <si>
    <t>350423200912235535</t>
    <phoneticPr fontId="9" type="noConversion"/>
  </si>
  <si>
    <t>350423200903064519</t>
    <phoneticPr fontId="9" type="noConversion"/>
  </si>
  <si>
    <t>江祖斌</t>
    <phoneticPr fontId="9" type="noConversion"/>
  </si>
  <si>
    <t>小学</t>
    <phoneticPr fontId="9" type="noConversion"/>
  </si>
  <si>
    <t>男子</t>
    <phoneticPr fontId="9" type="noConversion"/>
  </si>
  <si>
    <t>100米</t>
    <phoneticPr fontId="9" type="noConversion"/>
  </si>
  <si>
    <t>小学</t>
    <phoneticPr fontId="9" type="noConversion"/>
  </si>
  <si>
    <t>1116,葛东炜,实验小学1</t>
    <phoneticPr fontId="9" type="noConversion"/>
  </si>
  <si>
    <t>1127,李佳翃,实验小学2</t>
    <phoneticPr fontId="9" type="noConversion"/>
  </si>
  <si>
    <t>1136,胡旭尧,城关小学１</t>
    <phoneticPr fontId="9" type="noConversion"/>
  </si>
  <si>
    <t>1145,邱恩祺,城关小学２</t>
    <phoneticPr fontId="9" type="noConversion"/>
  </si>
  <si>
    <t>1307,黄绍杰,嵩溪中小</t>
    <phoneticPr fontId="9" type="noConversion"/>
  </si>
  <si>
    <t>1605,魏王涛,嵩口中小</t>
    <phoneticPr fontId="9" type="noConversion"/>
  </si>
  <si>
    <t>1506,李焱祖,长校中小</t>
    <phoneticPr fontId="9" type="noConversion"/>
  </si>
  <si>
    <t>1205,黄俊豪,灵地中小</t>
    <phoneticPr fontId="9" type="noConversion"/>
  </si>
  <si>
    <t>1185,上官灿彬,赖坊中小</t>
    <phoneticPr fontId="9" type="noConversion"/>
  </si>
  <si>
    <t>1198,俞恒椿,田源中小</t>
    <phoneticPr fontId="9" type="noConversion"/>
  </si>
  <si>
    <t>1277,赵沙林,邓家小学</t>
    <phoneticPr fontId="9" type="noConversion"/>
  </si>
  <si>
    <t>1217,李新荣,李家中小</t>
    <phoneticPr fontId="9" type="noConversion"/>
  </si>
  <si>
    <t>1237,邱鹏宁,林畲中小</t>
    <phoneticPr fontId="9" type="noConversion"/>
  </si>
  <si>
    <t>1238,邱浩宇,林畲中小</t>
    <phoneticPr fontId="9" type="noConversion"/>
  </si>
  <si>
    <t>1247,温晓坤,温郊中小</t>
    <phoneticPr fontId="9" type="noConversion"/>
  </si>
  <si>
    <t>1255,陈健斌,余朋中小</t>
    <phoneticPr fontId="9" type="noConversion"/>
  </si>
  <si>
    <t>1268,桂泓请,里田中小</t>
    <phoneticPr fontId="9" type="noConversion"/>
  </si>
  <si>
    <t>1297,陈旭明,屏山小学1</t>
    <phoneticPr fontId="9" type="noConversion"/>
  </si>
  <si>
    <t>1285,董张琪,屏山小学2</t>
    <phoneticPr fontId="9" type="noConversion"/>
  </si>
  <si>
    <t>200米</t>
    <phoneticPr fontId="9" type="noConversion"/>
  </si>
  <si>
    <t>1306,吴辉煌,嵩溪中小</t>
    <phoneticPr fontId="9" type="noConversion"/>
  </si>
  <si>
    <t>1187,吴佳乐,赖坊中小</t>
    <phoneticPr fontId="9" type="noConversion"/>
  </si>
  <si>
    <t>1196,阳圣杰,田源中小</t>
    <phoneticPr fontId="9" type="noConversion"/>
  </si>
  <si>
    <t>1267,凌朝毅,里田中小</t>
    <phoneticPr fontId="9" type="noConversion"/>
  </si>
  <si>
    <t>1286,毛  宁,屏山小学2</t>
    <phoneticPr fontId="9" type="noConversion"/>
  </si>
  <si>
    <t>400米</t>
    <phoneticPr fontId="9" type="noConversion"/>
  </si>
  <si>
    <t>1117,马晟杰,实验小学1</t>
    <phoneticPr fontId="9" type="noConversion"/>
  </si>
  <si>
    <t>1128,王思杰,实验小学2</t>
    <phoneticPr fontId="9" type="noConversion"/>
  </si>
  <si>
    <t>1135,李博威,城关小学１</t>
    <phoneticPr fontId="9" type="noConversion"/>
  </si>
  <si>
    <t>1148,黄晓宇,城关小学２</t>
    <phoneticPr fontId="9" type="noConversion"/>
  </si>
  <si>
    <t>1305,余翔天,嵩溪中小</t>
    <phoneticPr fontId="9" type="noConversion"/>
  </si>
  <si>
    <t>1606,罗子豪,嵩口中小</t>
    <phoneticPr fontId="9" type="noConversion"/>
  </si>
  <si>
    <t>1508,江文峰,长校中小</t>
    <phoneticPr fontId="9" type="noConversion"/>
  </si>
  <si>
    <t>1206,黄文荣,灵地中小</t>
    <phoneticPr fontId="9" type="noConversion"/>
  </si>
  <si>
    <t>1195,吴新炜,田源中小</t>
    <phoneticPr fontId="9" type="noConversion"/>
  </si>
  <si>
    <t>1276,叶志伟,邓家小学</t>
    <phoneticPr fontId="9" type="noConversion"/>
  </si>
  <si>
    <t>1216,邹水林,李家中小</t>
    <phoneticPr fontId="9" type="noConversion"/>
  </si>
  <si>
    <t>1225,陈祥滨,沙芜中小</t>
    <phoneticPr fontId="9" type="noConversion"/>
  </si>
  <si>
    <t>1235,邱晨奕,林畲中小</t>
    <phoneticPr fontId="9" type="noConversion"/>
  </si>
  <si>
    <t>1246,温立涵,温郊中小</t>
    <phoneticPr fontId="9" type="noConversion"/>
  </si>
  <si>
    <t>1257,江云烨,余朋中小</t>
    <phoneticPr fontId="9" type="noConversion"/>
  </si>
  <si>
    <t>1265,廖  俊,里田中小</t>
    <phoneticPr fontId="9" type="noConversion"/>
  </si>
  <si>
    <t>1295,魏林炜,屏山小学1</t>
    <phoneticPr fontId="9" type="noConversion"/>
  </si>
  <si>
    <t>800米</t>
    <phoneticPr fontId="9" type="noConversion"/>
  </si>
  <si>
    <t>1207,黄佳杰,灵地中小</t>
    <phoneticPr fontId="9" type="noConversion"/>
  </si>
  <si>
    <t>1186,上官裕,赖坊中小</t>
    <phoneticPr fontId="9" type="noConversion"/>
  </si>
  <si>
    <t>跳高</t>
    <phoneticPr fontId="9" type="noConversion"/>
  </si>
  <si>
    <t>1115,马健玮,实验小学1</t>
    <phoneticPr fontId="9" type="noConversion"/>
  </si>
  <si>
    <t>1126,余宣昱,实验小学2</t>
    <phoneticPr fontId="9" type="noConversion"/>
  </si>
  <si>
    <t>1137,廖景涵,城关小学１</t>
    <phoneticPr fontId="9" type="noConversion"/>
  </si>
  <si>
    <t>1146,邹林烨,城关小学２</t>
    <phoneticPr fontId="9" type="noConversion"/>
  </si>
  <si>
    <t>1308,肖  斌,嵩溪中小</t>
    <phoneticPr fontId="9" type="noConversion"/>
  </si>
  <si>
    <t>1607,张小明,嵩口中小</t>
    <phoneticPr fontId="9" type="noConversion"/>
  </si>
  <si>
    <t>1505,李天彦,长校中小</t>
    <phoneticPr fontId="9" type="noConversion"/>
  </si>
  <si>
    <t>1188,黄伟强,赖坊中小</t>
    <phoneticPr fontId="9" type="noConversion"/>
  </si>
  <si>
    <t>1278,马肇政,邓家小学</t>
    <phoneticPr fontId="9" type="noConversion"/>
  </si>
  <si>
    <t>1218,李龙杰,李家中小</t>
    <phoneticPr fontId="9" type="noConversion"/>
  </si>
  <si>
    <t>1226,严帆远,沙芜中小</t>
    <phoneticPr fontId="9" type="noConversion"/>
  </si>
  <si>
    <t>1248,曾海根,温郊中小</t>
    <phoneticPr fontId="9" type="noConversion"/>
  </si>
  <si>
    <t>1256,黄承彬,余朋中小</t>
    <phoneticPr fontId="9" type="noConversion"/>
  </si>
  <si>
    <t>1296,刘子明,屏山小学1</t>
    <phoneticPr fontId="9" type="noConversion"/>
  </si>
  <si>
    <t>1287,邹烨煌,屏山小学2</t>
    <phoneticPr fontId="9" type="noConversion"/>
  </si>
  <si>
    <t>跳远</t>
    <phoneticPr fontId="9" type="noConversion"/>
  </si>
  <si>
    <t>1227,黄将鸿,沙芜中小</t>
    <phoneticPr fontId="9" type="noConversion"/>
  </si>
  <si>
    <t>1245,黄子凌,温郊中小</t>
    <phoneticPr fontId="9" type="noConversion"/>
  </si>
  <si>
    <t>1266,廖宇忠,里田中小</t>
    <phoneticPr fontId="9" type="noConversion"/>
  </si>
  <si>
    <t>实心球</t>
    <phoneticPr fontId="9" type="noConversion"/>
  </si>
  <si>
    <t>1118,罗涌林,实验小学1</t>
    <phoneticPr fontId="9" type="noConversion"/>
  </si>
  <si>
    <t>1125,邱建辉,实验小学2</t>
    <phoneticPr fontId="9" type="noConversion"/>
  </si>
  <si>
    <t>1138,巫瀚岚,城关小学１</t>
    <phoneticPr fontId="9" type="noConversion"/>
  </si>
  <si>
    <t>1147,向  毅,城关小学２</t>
    <phoneticPr fontId="9" type="noConversion"/>
  </si>
  <si>
    <t>1507,江  浩,长校中小</t>
    <phoneticPr fontId="9" type="noConversion"/>
  </si>
  <si>
    <t>1208,黄俊涛,灵地中小</t>
    <phoneticPr fontId="9" type="noConversion"/>
  </si>
  <si>
    <t>1275,邓  晨,邓家小学</t>
    <phoneticPr fontId="9" type="noConversion"/>
  </si>
  <si>
    <t>1215,邹  霖,李家中小</t>
    <phoneticPr fontId="9" type="noConversion"/>
  </si>
  <si>
    <t>1236,邱煜阳,林畲中小</t>
    <phoneticPr fontId="9" type="noConversion"/>
  </si>
  <si>
    <t>1258,兰聪杰,余朋中小</t>
    <phoneticPr fontId="9" type="noConversion"/>
  </si>
  <si>
    <t>1298,邹林润,屏山小学1</t>
    <phoneticPr fontId="9" type="noConversion"/>
  </si>
  <si>
    <t>1288,巫烨伟,屏山小学2</t>
    <phoneticPr fontId="9" type="noConversion"/>
  </si>
  <si>
    <t>垒球</t>
    <phoneticPr fontId="9" type="noConversion"/>
  </si>
  <si>
    <t>1197,陈景霖,田源中小</t>
    <phoneticPr fontId="9" type="noConversion"/>
  </si>
  <si>
    <t>初中</t>
    <phoneticPr fontId="9" type="noConversion"/>
  </si>
  <si>
    <t>2417,林煜阳,城关中学1</t>
    <phoneticPr fontId="9" type="noConversion"/>
  </si>
  <si>
    <t>2427,罗鑫斌,城关中学2</t>
    <phoneticPr fontId="9" type="noConversion"/>
  </si>
  <si>
    <t>243b,罗财智,城关中学3</t>
    <phoneticPr fontId="9" type="noConversion"/>
  </si>
  <si>
    <t>2519,温何辉,实验中学1</t>
    <phoneticPr fontId="9" type="noConversion"/>
  </si>
  <si>
    <t>252a,余一鸣,实验中学2</t>
    <phoneticPr fontId="9" type="noConversion"/>
  </si>
  <si>
    <t>2538,陈国伟,实验中学3</t>
    <phoneticPr fontId="9" type="noConversion"/>
  </si>
  <si>
    <t>253b,魏林生,实验中学3</t>
    <phoneticPr fontId="9" type="noConversion"/>
  </si>
  <si>
    <t>2219,李佳泓,一中初中</t>
    <phoneticPr fontId="9" type="noConversion"/>
  </si>
  <si>
    <t>221a,杜孝行,一中初中</t>
    <phoneticPr fontId="9" type="noConversion"/>
  </si>
  <si>
    <t>251b,陈培源,实验中学1</t>
    <phoneticPr fontId="9" type="noConversion"/>
  </si>
  <si>
    <t>2418,张嘉伟,城关中学1</t>
    <phoneticPr fontId="9" type="noConversion"/>
  </si>
  <si>
    <t>2429,黄平彬,城关中学2</t>
    <phoneticPr fontId="9" type="noConversion"/>
  </si>
  <si>
    <t>242c,严黄椿,城关中学2</t>
    <phoneticPr fontId="9" type="noConversion"/>
  </si>
  <si>
    <t>2437,吴联辉,城关中学3</t>
    <phoneticPr fontId="9" type="noConversion"/>
  </si>
  <si>
    <t>2438,廖林斌,城关中学3</t>
    <phoneticPr fontId="9" type="noConversion"/>
  </si>
  <si>
    <t>251c,张俊伟,实验中学1</t>
    <phoneticPr fontId="9" type="noConversion"/>
  </si>
  <si>
    <t>2527,俞卓熙,实验中学2</t>
    <phoneticPr fontId="9" type="noConversion"/>
  </si>
  <si>
    <t>252b,张文杰,实验中学2</t>
    <phoneticPr fontId="9" type="noConversion"/>
  </si>
  <si>
    <t>2539,李佳昊,实验中学3</t>
    <phoneticPr fontId="9" type="noConversion"/>
  </si>
  <si>
    <t>253c,邱春源,实验中学3</t>
    <phoneticPr fontId="9" type="noConversion"/>
  </si>
  <si>
    <t>2217,廖家烨,一中初中</t>
    <phoneticPr fontId="9" type="noConversion"/>
  </si>
  <si>
    <t>中长跑</t>
    <phoneticPr fontId="9" type="noConversion"/>
  </si>
  <si>
    <t>2419,刘锦鸿,城关中学1</t>
    <phoneticPr fontId="9" type="noConversion"/>
  </si>
  <si>
    <t>241c,林宇杭,城关中学1</t>
    <phoneticPr fontId="9" type="noConversion"/>
  </si>
  <si>
    <t>2428,罗海斌,城关中学2</t>
    <phoneticPr fontId="9" type="noConversion"/>
  </si>
  <si>
    <t>242a,邹  墨,城关中学2</t>
    <phoneticPr fontId="9" type="noConversion"/>
  </si>
  <si>
    <t>2439,江鉴雨,城关中学3</t>
    <phoneticPr fontId="9" type="noConversion"/>
  </si>
  <si>
    <t>243a,赖英林,城关中学3</t>
    <phoneticPr fontId="9" type="noConversion"/>
  </si>
  <si>
    <t>2517,陈铭伟,实验中学1</t>
    <phoneticPr fontId="9" type="noConversion"/>
  </si>
  <si>
    <t>2518,邱智涛,实验中学1</t>
    <phoneticPr fontId="9" type="noConversion"/>
  </si>
  <si>
    <t>2528,李佳凌,实验中学2</t>
    <phoneticPr fontId="9" type="noConversion"/>
  </si>
  <si>
    <t>253a,温嘉豪,实验中学3</t>
    <phoneticPr fontId="9" type="noConversion"/>
  </si>
  <si>
    <t>2218,李佳勇,一中初中</t>
    <phoneticPr fontId="9" type="noConversion"/>
  </si>
  <si>
    <t>241a,罗志豪,城关中学1</t>
    <phoneticPr fontId="9" type="noConversion"/>
  </si>
  <si>
    <t>241b,吴钰龙,城关中学1</t>
    <phoneticPr fontId="9" type="noConversion"/>
  </si>
  <si>
    <t>242b,陈流发,城关中学2</t>
    <phoneticPr fontId="9" type="noConversion"/>
  </si>
  <si>
    <t>243c,李剑鸿,城关中学3</t>
    <phoneticPr fontId="9" type="noConversion"/>
  </si>
  <si>
    <t>251a,张孔杰,实验中学1</t>
    <phoneticPr fontId="9" type="noConversion"/>
  </si>
  <si>
    <t>2529,张诚坤,实验中学2</t>
    <phoneticPr fontId="9" type="noConversion"/>
  </si>
  <si>
    <t>252c,刘泽学,实验中学2</t>
    <phoneticPr fontId="9" type="noConversion"/>
  </si>
  <si>
    <t>2537,伍羿轩,实验中学3</t>
    <phoneticPr fontId="9" type="noConversion"/>
  </si>
  <si>
    <t>221b,廖鸿涛,一中初中</t>
    <phoneticPr fontId="9" type="noConversion"/>
  </si>
  <si>
    <t>221c,邹立涌,一中初中</t>
    <phoneticPr fontId="9" type="noConversion"/>
  </si>
  <si>
    <t>铅球</t>
    <phoneticPr fontId="9" type="noConversion"/>
  </si>
  <si>
    <t>高中</t>
    <phoneticPr fontId="9" type="noConversion"/>
  </si>
  <si>
    <t>3119,林  鑫,清流一中1</t>
    <phoneticPr fontId="9" type="noConversion"/>
  </si>
  <si>
    <t>3127,雷思航,清流一中2</t>
    <phoneticPr fontId="9" type="noConversion"/>
  </si>
  <si>
    <t>3128,严  杰,清流一中2</t>
    <phoneticPr fontId="9" type="noConversion"/>
  </si>
  <si>
    <t>3137,周玉川,清流一中3</t>
    <phoneticPr fontId="9" type="noConversion"/>
  </si>
  <si>
    <t>313b,林胜章,清流一中3</t>
    <phoneticPr fontId="9" type="noConversion"/>
  </si>
  <si>
    <t>321b,江  浩,清流职中1</t>
    <phoneticPr fontId="9" type="noConversion"/>
  </si>
  <si>
    <t>321c,陈鹏辉,清流职中1</t>
    <phoneticPr fontId="9" type="noConversion"/>
  </si>
  <si>
    <t>3227,罗  伟,清流职中2</t>
    <phoneticPr fontId="9" type="noConversion"/>
  </si>
  <si>
    <t>311b,江宗锦,清流一中1</t>
    <phoneticPr fontId="9" type="noConversion"/>
  </si>
  <si>
    <t>3129,赖  荣,清流一中2</t>
    <phoneticPr fontId="9" type="noConversion"/>
  </si>
  <si>
    <t>3139,赖治坤,清流一中3</t>
    <phoneticPr fontId="9" type="noConversion"/>
  </si>
  <si>
    <t>3219,温余丞,清流职中1</t>
    <phoneticPr fontId="9" type="noConversion"/>
  </si>
  <si>
    <t>322b,肖  智,清流职中2</t>
    <phoneticPr fontId="9" type="noConversion"/>
  </si>
  <si>
    <t>3117,赖金涛,清流一中1</t>
    <phoneticPr fontId="9" type="noConversion"/>
  </si>
  <si>
    <t>312a,林善伟,清流一中2</t>
    <phoneticPr fontId="9" type="noConversion"/>
  </si>
  <si>
    <t>3138,曾庆宏,清流一中3</t>
    <phoneticPr fontId="9" type="noConversion"/>
  </si>
  <si>
    <t>322c,汤锣凤,清流职中2</t>
    <phoneticPr fontId="9" type="noConversion"/>
  </si>
  <si>
    <t>312c,陈  磊,清流一中2</t>
    <phoneticPr fontId="9" type="noConversion"/>
  </si>
  <si>
    <t>3217,邱睿泽,清流职中1</t>
    <phoneticPr fontId="9" type="noConversion"/>
  </si>
  <si>
    <t>322a,上官天浩,清流职中2</t>
    <phoneticPr fontId="9" type="noConversion"/>
  </si>
  <si>
    <t>311a,林开源,清流一中1</t>
    <phoneticPr fontId="9" type="noConversion"/>
  </si>
  <si>
    <t>311c,赖旭凯,清流一中1</t>
    <phoneticPr fontId="9" type="noConversion"/>
  </si>
  <si>
    <t>313c,李  阳,清流一中3</t>
    <phoneticPr fontId="9" type="noConversion"/>
  </si>
  <si>
    <t>3218,彭毅彬,清流职中1</t>
    <phoneticPr fontId="9" type="noConversion"/>
  </si>
  <si>
    <t>3229,曹胜豪,清流职中2</t>
    <phoneticPr fontId="9" type="noConversion"/>
  </si>
  <si>
    <t>3118,童家熙,清流一中1</t>
    <phoneticPr fontId="9" type="noConversion"/>
  </si>
  <si>
    <t>312b,赖志杰,清流一中2</t>
    <phoneticPr fontId="9" type="noConversion"/>
  </si>
  <si>
    <t>313a,邓  楠,清流一中3</t>
    <phoneticPr fontId="9" type="noConversion"/>
  </si>
  <si>
    <t>三级跳</t>
    <phoneticPr fontId="9" type="noConversion"/>
  </si>
  <si>
    <t>321a,罗清平,清流职中1</t>
    <phoneticPr fontId="9" type="noConversion"/>
  </si>
  <si>
    <t>3228,陈浩斌,清流职中2</t>
    <phoneticPr fontId="9" type="noConversion"/>
  </si>
  <si>
    <t>女子</t>
    <phoneticPr fontId="9" type="noConversion"/>
  </si>
  <si>
    <t>1111,马紫涵,实验小学1</t>
    <phoneticPr fontId="9" type="noConversion"/>
  </si>
  <si>
    <t>1121,彭  乐,实验小学2</t>
    <phoneticPr fontId="9" type="noConversion"/>
  </si>
  <si>
    <t>1131,蓝歆源,城关小学１</t>
    <phoneticPr fontId="9" type="noConversion"/>
  </si>
  <si>
    <t>1141,林智玲,城关小学２</t>
    <phoneticPr fontId="9" type="noConversion"/>
  </si>
  <si>
    <t>1302,陈舒菲,嵩溪中小</t>
    <phoneticPr fontId="9" type="noConversion"/>
  </si>
  <si>
    <t>1601,余  静,嵩口中小</t>
    <phoneticPr fontId="9" type="noConversion"/>
  </si>
  <si>
    <t>1503,李清钰,长校中小</t>
    <phoneticPr fontId="9" type="noConversion"/>
  </si>
  <si>
    <t>1201,黄紫梅,灵地中小</t>
    <phoneticPr fontId="9" type="noConversion"/>
  </si>
  <si>
    <t>1183,赖香花,赖坊中小</t>
    <phoneticPr fontId="9" type="noConversion"/>
  </si>
  <si>
    <t>1191,廖以菲,田源中小</t>
    <phoneticPr fontId="9" type="noConversion"/>
  </si>
  <si>
    <t>1271,邓丁香,邓家小学</t>
    <phoneticPr fontId="9" type="noConversion"/>
  </si>
  <si>
    <t>1213,李梦瑶,李家中小</t>
    <phoneticPr fontId="9" type="noConversion"/>
  </si>
  <si>
    <t>1241,温淑仪,温郊中小</t>
    <phoneticPr fontId="9" type="noConversion"/>
  </si>
  <si>
    <t>1251,沈  敏,余朋中小</t>
    <phoneticPr fontId="9" type="noConversion"/>
  </si>
  <si>
    <t>1264,廖聘涓,里田中小</t>
    <phoneticPr fontId="9" type="noConversion"/>
  </si>
  <si>
    <t>1294,赖婉钰,屏山小学1</t>
    <phoneticPr fontId="9" type="noConversion"/>
  </si>
  <si>
    <t>1281,邹佳慧,屏山小学2</t>
    <phoneticPr fontId="9" type="noConversion"/>
  </si>
  <si>
    <t>1112,余梦琪,实验小学1</t>
    <phoneticPr fontId="9" type="noConversion"/>
  </si>
  <si>
    <t>1123,叶欣颖,实验小学2</t>
    <phoneticPr fontId="9" type="noConversion"/>
  </si>
  <si>
    <t>1203,黄诗涵,灵地中小</t>
    <phoneticPr fontId="9" type="noConversion"/>
  </si>
  <si>
    <t>1182,沈丽香,赖坊中小</t>
    <phoneticPr fontId="9" type="noConversion"/>
  </si>
  <si>
    <t>1194,黄雨鑫,田源中小</t>
    <phoneticPr fontId="9" type="noConversion"/>
  </si>
  <si>
    <t>1274,黄艳男,邓家小学</t>
    <phoneticPr fontId="9" type="noConversion"/>
  </si>
  <si>
    <t>1221,赖银湘,沙芜中小</t>
    <phoneticPr fontId="9" type="noConversion"/>
  </si>
  <si>
    <t>1233,邱紫欣,林畲中小</t>
    <phoneticPr fontId="9" type="noConversion"/>
  </si>
  <si>
    <t>1234,孙诗雅,林畲中小</t>
    <phoneticPr fontId="9" type="noConversion"/>
  </si>
  <si>
    <t>1113,邱雨轩,实验小学1</t>
    <phoneticPr fontId="9" type="noConversion"/>
  </si>
  <si>
    <t>1132,曹李峥,城关小学１</t>
    <phoneticPr fontId="9" type="noConversion"/>
  </si>
  <si>
    <t>1142,张煜玲,城关小学２</t>
    <phoneticPr fontId="9" type="noConversion"/>
  </si>
  <si>
    <t>1301,巫冰倩,嵩溪中小</t>
    <phoneticPr fontId="9" type="noConversion"/>
  </si>
  <si>
    <t>1602,黄雨宸,嵩口中小</t>
    <phoneticPr fontId="9" type="noConversion"/>
  </si>
  <si>
    <t>1501,廖  敏,长校中小</t>
    <phoneticPr fontId="9" type="noConversion"/>
  </si>
  <si>
    <t>1502,谢小海,长校中小</t>
    <phoneticPr fontId="9" type="noConversion"/>
  </si>
  <si>
    <t>1273,马依林,邓家小学</t>
    <phoneticPr fontId="9" type="noConversion"/>
  </si>
  <si>
    <t>1212,林可儿,李家中小</t>
    <phoneticPr fontId="9" type="noConversion"/>
  </si>
  <si>
    <t>1224,,沙芜中小</t>
    <phoneticPr fontId="9" type="noConversion"/>
  </si>
  <si>
    <t>1242,温家乐,温郊中小</t>
    <phoneticPr fontId="9" type="noConversion"/>
  </si>
  <si>
    <t>1252,巫程曦,余朋中小</t>
    <phoneticPr fontId="9" type="noConversion"/>
  </si>
  <si>
    <t>1262,罗  青,里田中小</t>
    <phoneticPr fontId="9" type="noConversion"/>
  </si>
  <si>
    <t>1293,伍智慧,屏山小学1</t>
    <phoneticPr fontId="9" type="noConversion"/>
  </si>
  <si>
    <t>1283,吴伊涵,屏山小学2</t>
    <phoneticPr fontId="9" type="noConversion"/>
  </si>
  <si>
    <t>1124,李佳悦,实验小学2</t>
    <phoneticPr fontId="9" type="noConversion"/>
  </si>
  <si>
    <t>1254,陈桂花,余朋中小</t>
    <phoneticPr fontId="9" type="noConversion"/>
  </si>
  <si>
    <t>1133,曹彦妮,城关小学１</t>
    <phoneticPr fontId="9" type="noConversion"/>
  </si>
  <si>
    <t>1144,林雨彤,城关小学２</t>
    <phoneticPr fontId="9" type="noConversion"/>
  </si>
  <si>
    <t>1303,邓佳洁,嵩溪中小</t>
    <phoneticPr fontId="9" type="noConversion"/>
  </si>
  <si>
    <t>1603,廖佳怡,嵩口中小</t>
    <phoneticPr fontId="9" type="noConversion"/>
  </si>
  <si>
    <t>1181,林宇欢,赖坊中小</t>
    <phoneticPr fontId="9" type="noConversion"/>
  </si>
  <si>
    <t>1272,邓凌玉,邓家小学</t>
    <phoneticPr fontId="9" type="noConversion"/>
  </si>
  <si>
    <t>1214,李慧茹,李家中小</t>
    <phoneticPr fontId="9" type="noConversion"/>
  </si>
  <si>
    <t>1223,刘忆婷,沙芜中小</t>
    <phoneticPr fontId="9" type="noConversion"/>
  </si>
  <si>
    <t>1231,官雅琪,林畲中小</t>
    <phoneticPr fontId="9" type="noConversion"/>
  </si>
  <si>
    <t>1232,杨春嵘,林畲中小</t>
    <phoneticPr fontId="9" type="noConversion"/>
  </si>
  <si>
    <t>1243,王金妍,温郊中小</t>
    <phoneticPr fontId="9" type="noConversion"/>
  </si>
  <si>
    <t>1261,罗佳怡,里田中小</t>
    <phoneticPr fontId="9" type="noConversion"/>
  </si>
  <si>
    <t>1292,赖欣怡,屏山小学1</t>
    <phoneticPr fontId="9" type="noConversion"/>
  </si>
  <si>
    <t>1282,邓欣瑶,屏山小学2</t>
    <phoneticPr fontId="9" type="noConversion"/>
  </si>
  <si>
    <t>1202,罗妍茜,灵地中小</t>
    <phoneticPr fontId="9" type="noConversion"/>
  </si>
  <si>
    <t>1114,程  曦,实验小学1</t>
    <phoneticPr fontId="9" type="noConversion"/>
  </si>
  <si>
    <t>1122,周乐妍,实验小学2</t>
    <phoneticPr fontId="9" type="noConversion"/>
  </si>
  <si>
    <t>1134,魏烨榕,城关小学１</t>
    <phoneticPr fontId="9" type="noConversion"/>
  </si>
  <si>
    <t>1143,晏紫妍,城关小学２</t>
    <phoneticPr fontId="9" type="noConversion"/>
  </si>
  <si>
    <t>1304,阳钰婷,嵩溪中小</t>
    <phoneticPr fontId="9" type="noConversion"/>
  </si>
  <si>
    <t>1604,黄慧柃,嵩口中小</t>
    <phoneticPr fontId="9" type="noConversion"/>
  </si>
  <si>
    <t>1608,,嵩口中小</t>
    <phoneticPr fontId="9" type="noConversion"/>
  </si>
  <si>
    <t>1504,江春梅,长校中小</t>
    <phoneticPr fontId="9" type="noConversion"/>
  </si>
  <si>
    <t>1204,李小清,灵地中小</t>
    <phoneticPr fontId="9" type="noConversion"/>
  </si>
  <si>
    <t>1184,林伊敏,赖坊中小</t>
    <phoneticPr fontId="9" type="noConversion"/>
  </si>
  <si>
    <t>1193,陈梦琳,田源中小</t>
    <phoneticPr fontId="9" type="noConversion"/>
  </si>
  <si>
    <t>1211,王斯瑶,李家中小</t>
    <phoneticPr fontId="9" type="noConversion"/>
  </si>
  <si>
    <t>1222,赖思怡,沙芜中小</t>
    <phoneticPr fontId="9" type="noConversion"/>
  </si>
  <si>
    <t>1244,温欣怡,温郊中小</t>
    <phoneticPr fontId="9" type="noConversion"/>
  </si>
  <si>
    <t>1253,陈思语,余朋中小</t>
    <phoneticPr fontId="9" type="noConversion"/>
  </si>
  <si>
    <t>1263,罗如清,里田中小</t>
    <phoneticPr fontId="9" type="noConversion"/>
  </si>
  <si>
    <t>1291,康琳娜,屏山小学1</t>
    <phoneticPr fontId="9" type="noConversion"/>
  </si>
  <si>
    <t>1284,李  欣,屏山小学2</t>
    <phoneticPr fontId="9" type="noConversion"/>
  </si>
  <si>
    <t>1192,翁可欣,田源中小</t>
    <phoneticPr fontId="9" type="noConversion"/>
  </si>
  <si>
    <t>2411,叶  婷,城关中学1</t>
    <phoneticPr fontId="9" type="noConversion"/>
  </si>
  <si>
    <t>2413,罗烨梅,城关中学1</t>
    <phoneticPr fontId="9" type="noConversion"/>
  </si>
  <si>
    <t>2421,朱雨婷,城关中学2</t>
    <phoneticPr fontId="9" type="noConversion"/>
  </si>
  <si>
    <t>2422,李  薇,城关中学2</t>
    <phoneticPr fontId="9" type="noConversion"/>
  </si>
  <si>
    <t>2433,陈  蕾,城关中学3</t>
    <phoneticPr fontId="9" type="noConversion"/>
  </si>
  <si>
    <t>2435,蔡钦妍,城关中学3</t>
    <phoneticPr fontId="9" type="noConversion"/>
  </si>
  <si>
    <t>2513,雷乐星,实验中学1</t>
    <phoneticPr fontId="9" type="noConversion"/>
  </si>
  <si>
    <t>2515,荚艳婷,实验中学1</t>
    <phoneticPr fontId="9" type="noConversion"/>
  </si>
  <si>
    <t>2521,肖诗玮,实验中学2</t>
    <phoneticPr fontId="9" type="noConversion"/>
  </si>
  <si>
    <t>2523,江佳丽,实验中学2</t>
    <phoneticPr fontId="9" type="noConversion"/>
  </si>
  <si>
    <t>2531,熊  洁,实验中学3</t>
    <phoneticPr fontId="9" type="noConversion"/>
  </si>
  <si>
    <t>2212,沈雨欣,一中初中</t>
    <phoneticPr fontId="9" type="noConversion"/>
  </si>
  <si>
    <t>2215,赖思涵,一中初中</t>
    <phoneticPr fontId="9" type="noConversion"/>
  </si>
  <si>
    <t>2412,吴宇欣,城关中学1</t>
    <phoneticPr fontId="9" type="noConversion"/>
  </si>
  <si>
    <t>2415,黄有彬,城关中学1</t>
    <phoneticPr fontId="9" type="noConversion"/>
  </si>
  <si>
    <t>2424,罗  祺,城关中学2</t>
    <phoneticPr fontId="9" type="noConversion"/>
  </si>
  <si>
    <t>2431,赖宝怡,城关中学3</t>
    <phoneticPr fontId="9" type="noConversion"/>
  </si>
  <si>
    <t>2511,王  婷,实验中学1</t>
    <phoneticPr fontId="9" type="noConversion"/>
  </si>
  <si>
    <t>2522,黄思涵,实验中学2</t>
    <phoneticPr fontId="9" type="noConversion"/>
  </si>
  <si>
    <t>2533,黄素秋,实验中学3</t>
    <phoneticPr fontId="9" type="noConversion"/>
  </si>
  <si>
    <t>2211,邱文丽,一中初中</t>
    <phoneticPr fontId="9" type="noConversion"/>
  </si>
  <si>
    <t>2214,罗林浠,一中初中</t>
    <phoneticPr fontId="9" type="noConversion"/>
  </si>
  <si>
    <t>2416,王思雨,城关中学1</t>
    <phoneticPr fontId="9" type="noConversion"/>
  </si>
  <si>
    <t>2423,罗阳阳,城关中学2</t>
    <phoneticPr fontId="9" type="noConversion"/>
  </si>
  <si>
    <t>2434,邱欣怡,城关中学3</t>
    <phoneticPr fontId="9" type="noConversion"/>
  </si>
  <si>
    <t>2512,赖雅琴,实验中学1</t>
    <phoneticPr fontId="9" type="noConversion"/>
  </si>
  <si>
    <t>2525,吴雯君,实验中学2</t>
    <phoneticPr fontId="9" type="noConversion"/>
  </si>
  <si>
    <t>2526,邹思涵,实验中学2</t>
    <phoneticPr fontId="9" type="noConversion"/>
  </si>
  <si>
    <t>2534,江雅琪,实验中学3</t>
    <phoneticPr fontId="9" type="noConversion"/>
  </si>
  <si>
    <t>2535,季锦萍,实验中学3</t>
    <phoneticPr fontId="9" type="noConversion"/>
  </si>
  <si>
    <t>2213,江欣怡,一中初中</t>
    <phoneticPr fontId="9" type="noConversion"/>
  </si>
  <si>
    <t>2414,林佳妍,城关中学1</t>
    <phoneticPr fontId="9" type="noConversion"/>
  </si>
  <si>
    <t>2425,赖丽华,城关中学2</t>
    <phoneticPr fontId="9" type="noConversion"/>
  </si>
  <si>
    <t>2426,陈  欣,城关中学2</t>
    <phoneticPr fontId="9" type="noConversion"/>
  </si>
  <si>
    <t>2432,罗雅馨,城关中学3</t>
    <phoneticPr fontId="9" type="noConversion"/>
  </si>
  <si>
    <t>2436,陈佳欣,城关中学3</t>
    <phoneticPr fontId="9" type="noConversion"/>
  </si>
  <si>
    <t>2514,樊  阳,实验中学1</t>
    <phoneticPr fontId="9" type="noConversion"/>
  </si>
  <si>
    <t>2516,孙慧群,实验中学1</t>
    <phoneticPr fontId="9" type="noConversion"/>
  </si>
  <si>
    <t>2524,黄彬彬,实验中学2</t>
    <phoneticPr fontId="9" type="noConversion"/>
  </si>
  <si>
    <t>2532,江海芳,实验中学3</t>
    <phoneticPr fontId="9" type="noConversion"/>
  </si>
  <si>
    <t>2536,黄爱凤,实验中学3</t>
    <phoneticPr fontId="9" type="noConversion"/>
  </si>
  <si>
    <t>2216,李晨欣,一中初中</t>
    <phoneticPr fontId="9" type="noConversion"/>
  </si>
  <si>
    <t>3111,罗秀芳,清流一中1</t>
    <phoneticPr fontId="9" type="noConversion"/>
  </si>
  <si>
    <t>3113,吴闽琳,清流一中1</t>
    <phoneticPr fontId="9" type="noConversion"/>
  </si>
  <si>
    <t>3122,上官欣虹,清流一中2</t>
    <phoneticPr fontId="9" type="noConversion"/>
  </si>
  <si>
    <t>3133,罗洪敏,清流一中3</t>
    <phoneticPr fontId="9" type="noConversion"/>
  </si>
  <si>
    <t>3214,陈淑雯,清流职中1</t>
    <phoneticPr fontId="9" type="noConversion"/>
  </si>
  <si>
    <t>3121,赖沐君,清流一中2</t>
    <phoneticPr fontId="9" type="noConversion"/>
  </si>
  <si>
    <t>3125,王露瑶,清流一中2</t>
    <phoneticPr fontId="9" type="noConversion"/>
  </si>
  <si>
    <t>3135,赖晓敏,清流一中3</t>
    <phoneticPr fontId="9" type="noConversion"/>
  </si>
  <si>
    <t>3211,罗馨婷,清流职中1</t>
    <phoneticPr fontId="9" type="noConversion"/>
  </si>
  <si>
    <t>3215,张  慧,清流职中1</t>
    <phoneticPr fontId="9" type="noConversion"/>
  </si>
  <si>
    <t>3222,邓  洁,清流职中2</t>
    <phoneticPr fontId="9" type="noConversion"/>
  </si>
  <si>
    <t>3223,赖小花,清流职中2</t>
    <phoneticPr fontId="9" type="noConversion"/>
  </si>
  <si>
    <t>3115,魏玉婷,清流一中1</t>
    <phoneticPr fontId="9" type="noConversion"/>
  </si>
  <si>
    <t>3116,霍思雅,清流一中1</t>
    <phoneticPr fontId="9" type="noConversion"/>
  </si>
  <si>
    <t>3126,严筱祈,清流一中2</t>
    <phoneticPr fontId="9" type="noConversion"/>
  </si>
  <si>
    <t>3132,罗舒涵,清流一中3</t>
    <phoneticPr fontId="9" type="noConversion"/>
  </si>
  <si>
    <t>3134,吴慧娟,清流一中3</t>
    <phoneticPr fontId="9" type="noConversion"/>
  </si>
  <si>
    <t>3216,张  婷,清流职中1</t>
    <phoneticPr fontId="9" type="noConversion"/>
  </si>
  <si>
    <t>3213,张凤玉,清流职中1</t>
    <phoneticPr fontId="9" type="noConversion"/>
  </si>
  <si>
    <t>3224,赖佳敏,清流职中2</t>
    <phoneticPr fontId="9" type="noConversion"/>
  </si>
  <si>
    <t>3226,赵雪花,清流职中2</t>
    <phoneticPr fontId="9" type="noConversion"/>
  </si>
  <si>
    <t>3114,荚文芳,清流一中1</t>
    <phoneticPr fontId="9" type="noConversion"/>
  </si>
  <si>
    <t>3124,廖佳怡,清流一中2</t>
    <phoneticPr fontId="9" type="noConversion"/>
  </si>
  <si>
    <t>3136,赵宇桢,清流一中3</t>
    <phoneticPr fontId="9" type="noConversion"/>
  </si>
  <si>
    <t>3221,上官贞,清流职中2</t>
    <phoneticPr fontId="9" type="noConversion"/>
  </si>
  <si>
    <t>3225,涂淇娜,清流职中2</t>
    <phoneticPr fontId="9" type="noConversion"/>
  </si>
  <si>
    <t>3131,李雯钰,清流一中3</t>
    <phoneticPr fontId="9" type="noConversion"/>
  </si>
  <si>
    <t>3212,邹  慧,清流职中1</t>
    <phoneticPr fontId="9" type="noConversion"/>
  </si>
  <si>
    <t>3112,江美遐,清流一中1</t>
    <phoneticPr fontId="9" type="noConversion"/>
  </si>
  <si>
    <t>3123,陈欣炎,清流一中2</t>
    <phoneticPr fontId="9" type="noConversion"/>
  </si>
  <si>
    <t>221a,杜孝行,一中初中</t>
    <phoneticPr fontId="9" type="noConversion"/>
  </si>
  <si>
    <t>350423200505133523</t>
  </si>
  <si>
    <t>350423200507162520</t>
  </si>
  <si>
    <t>350423200412146128</t>
  </si>
  <si>
    <t>35042320060108002x</t>
  </si>
  <si>
    <t>35042320050904152x</t>
  </si>
  <si>
    <t>350423200611012020</t>
  </si>
  <si>
    <t>350423200409092015</t>
  </si>
  <si>
    <t>350423200409023511</t>
  </si>
  <si>
    <t>陈玉英</t>
  </si>
  <si>
    <t>汤新根</t>
  </si>
  <si>
    <t>郑荣烽</t>
  </si>
  <si>
    <t>王立新</t>
  </si>
  <si>
    <t>黄立顺</t>
  </si>
  <si>
    <t>李佛槟</t>
  </si>
  <si>
    <t>350423200502055013</t>
  </si>
  <si>
    <t>350423200412116513</t>
  </si>
  <si>
    <t>350583200412139039</t>
  </si>
  <si>
    <t>35042320040907451x</t>
  </si>
  <si>
    <t>黄红明</t>
  </si>
  <si>
    <t>林彩云</t>
  </si>
  <si>
    <t>游燕艳</t>
  </si>
  <si>
    <t>郑荣烽</t>
    <phoneticPr fontId="9" type="noConversion"/>
  </si>
  <si>
    <t>郑荣烽</t>
    <phoneticPr fontId="9" type="noConversion"/>
  </si>
  <si>
    <t>350423200608053526</t>
  </si>
  <si>
    <t>350423200603136023</t>
  </si>
  <si>
    <t>350423200511182524</t>
  </si>
  <si>
    <t>350423200607152522</t>
  </si>
  <si>
    <t>35042320070813004x</t>
  </si>
  <si>
    <t>350423200704025023</t>
  </si>
  <si>
    <t>35042320040931551x</t>
  </si>
  <si>
    <t>350423200409295574</t>
  </si>
  <si>
    <t>江吴娇</t>
  </si>
  <si>
    <t>350423200504075018</t>
  </si>
  <si>
    <t>350424200602248011</t>
  </si>
  <si>
    <t>350423200412113515</t>
  </si>
  <si>
    <t>350423200509289513</t>
  </si>
  <si>
    <t>陈玉英</t>
    <phoneticPr fontId="9" type="noConversion"/>
  </si>
  <si>
    <t>350423200708035528</t>
  </si>
  <si>
    <t>350423200610211028</t>
  </si>
  <si>
    <t>350423200609126547</t>
  </si>
  <si>
    <t>350423200611261043</t>
  </si>
  <si>
    <t>350423200705110529</t>
  </si>
  <si>
    <t>350423200611135020</t>
  </si>
  <si>
    <t>350423200411206015</t>
  </si>
  <si>
    <t>350423200604286015</t>
  </si>
  <si>
    <t>350423200511033537</t>
  </si>
  <si>
    <t>350423200511210011</t>
  </si>
  <si>
    <t>350423200605021019</t>
  </si>
  <si>
    <t>350423200601132512</t>
  </si>
  <si>
    <t>王立新</t>
    <phoneticPr fontId="9" type="noConversion"/>
  </si>
  <si>
    <t>林彩云</t>
    <phoneticPr fontId="9" type="noConversion"/>
  </si>
  <si>
    <t>林彩云</t>
    <phoneticPr fontId="9" type="noConversion"/>
  </si>
  <si>
    <t>350423200602193528</t>
  </si>
  <si>
    <t>350423200511090523</t>
  </si>
  <si>
    <t>350423200605162022</t>
  </si>
  <si>
    <t>350423200501021014</t>
  </si>
  <si>
    <t>35042320051026603X</t>
  </si>
  <si>
    <t>35042320050117351X</t>
  </si>
  <si>
    <t>35042320051220051X</t>
  </si>
  <si>
    <t>谢晓丽</t>
    <phoneticPr fontId="9" type="noConversion"/>
  </si>
  <si>
    <t>邱新强</t>
    <phoneticPr fontId="9" type="noConversion"/>
  </si>
  <si>
    <t>邱新强</t>
    <phoneticPr fontId="9" type="noConversion"/>
  </si>
  <si>
    <t>350423200612033528</t>
  </si>
  <si>
    <t>350423200707170023</t>
  </si>
  <si>
    <t>35042320070429002X</t>
  </si>
  <si>
    <t>350423200612253547</t>
  </si>
  <si>
    <t>35042320050123452X</t>
  </si>
  <si>
    <t>350423200609270522</t>
  </si>
  <si>
    <t>350423200511024518</t>
  </si>
  <si>
    <t>350423200601315512</t>
  </si>
  <si>
    <t>350423200602130017</t>
  </si>
  <si>
    <t>350424200601234734</t>
  </si>
  <si>
    <t>350423200601146535</t>
  </si>
  <si>
    <t>35042320041025551X</t>
  </si>
  <si>
    <t>黄智宏</t>
    <phoneticPr fontId="9" type="noConversion"/>
  </si>
  <si>
    <t>男队 2419李冠颉 241a赖英林 241b吴钰龙 241c林  锐</t>
    <phoneticPr fontId="9" type="noConversion"/>
  </si>
  <si>
    <t>实验小学1</t>
    <phoneticPr fontId="9" type="noConversion"/>
  </si>
  <si>
    <t>领队：黄惠珍     教练：黄飞燕</t>
    <phoneticPr fontId="9" type="noConversion"/>
  </si>
  <si>
    <t>1111</t>
    <phoneticPr fontId="9" type="noConversion"/>
  </si>
  <si>
    <t>巫紫涵</t>
    <phoneticPr fontId="9" type="noConversion"/>
  </si>
  <si>
    <t>女</t>
    <phoneticPr fontId="9" type="noConversion"/>
  </si>
  <si>
    <t>100米</t>
    <phoneticPr fontId="9" type="noConversion"/>
  </si>
  <si>
    <t>200米</t>
    <phoneticPr fontId="9" type="noConversion"/>
  </si>
  <si>
    <t>1112</t>
    <phoneticPr fontId="9" type="noConversion"/>
  </si>
  <si>
    <t>林思怡</t>
    <phoneticPr fontId="9" type="noConversion"/>
  </si>
  <si>
    <t>400米</t>
    <phoneticPr fontId="9" type="noConversion"/>
  </si>
  <si>
    <t>800米</t>
    <phoneticPr fontId="9" type="noConversion"/>
  </si>
  <si>
    <t>1113</t>
    <phoneticPr fontId="9" type="noConversion"/>
  </si>
  <si>
    <t>陈玉珍</t>
    <phoneticPr fontId="9" type="noConversion"/>
  </si>
  <si>
    <t>跳远</t>
    <phoneticPr fontId="9" type="noConversion"/>
  </si>
  <si>
    <t>1114</t>
    <phoneticPr fontId="9" type="noConversion"/>
  </si>
  <si>
    <t>罗漪琳</t>
    <phoneticPr fontId="9" type="noConversion"/>
  </si>
  <si>
    <t>跳高</t>
    <phoneticPr fontId="9" type="noConversion"/>
  </si>
  <si>
    <t>实心球</t>
    <phoneticPr fontId="9" type="noConversion"/>
  </si>
  <si>
    <t>1115</t>
    <phoneticPr fontId="9" type="noConversion"/>
  </si>
  <si>
    <t>邓杰斌</t>
    <phoneticPr fontId="9" type="noConversion"/>
  </si>
  <si>
    <t>男</t>
    <phoneticPr fontId="9" type="noConversion"/>
  </si>
  <si>
    <t>1116</t>
    <phoneticPr fontId="9" type="noConversion"/>
  </si>
  <si>
    <t>黄  智</t>
    <phoneticPr fontId="9" type="noConversion"/>
  </si>
  <si>
    <t>垒球</t>
    <phoneticPr fontId="9" type="noConversion"/>
  </si>
  <si>
    <t>1117</t>
    <phoneticPr fontId="9" type="noConversion"/>
  </si>
  <si>
    <t>魏子健</t>
    <phoneticPr fontId="9" type="noConversion"/>
  </si>
  <si>
    <t>1118</t>
    <phoneticPr fontId="9" type="noConversion"/>
  </si>
  <si>
    <t>邓奕航</t>
    <phoneticPr fontId="9" type="noConversion"/>
  </si>
  <si>
    <t>男队 1115邓杰斌 1116黄  智 1117魏子健 1118邓奕航</t>
    <phoneticPr fontId="9" type="noConversion"/>
  </si>
  <si>
    <t>女队 1111巫紫涵 1112林思怡 1113陈玉珍 1114罗漪琳</t>
    <phoneticPr fontId="9" type="noConversion"/>
  </si>
  <si>
    <t>实验小学2</t>
    <phoneticPr fontId="9" type="noConversion"/>
  </si>
  <si>
    <t>领队：黄惠珍     教练：李金祥</t>
    <phoneticPr fontId="9" type="noConversion"/>
  </si>
  <si>
    <t>1121</t>
    <phoneticPr fontId="9" type="noConversion"/>
  </si>
  <si>
    <t>彭钰朵</t>
    <phoneticPr fontId="9" type="noConversion"/>
  </si>
  <si>
    <t>实验小学2</t>
    <phoneticPr fontId="9" type="noConversion"/>
  </si>
  <si>
    <t>1122</t>
    <phoneticPr fontId="9" type="noConversion"/>
  </si>
  <si>
    <t>林钰琪</t>
    <phoneticPr fontId="9" type="noConversion"/>
  </si>
  <si>
    <t>1123</t>
    <phoneticPr fontId="9" type="noConversion"/>
  </si>
  <si>
    <t>邓小艺</t>
    <phoneticPr fontId="9" type="noConversion"/>
  </si>
  <si>
    <t>1124</t>
    <phoneticPr fontId="9" type="noConversion"/>
  </si>
  <si>
    <t>包翌珍</t>
    <phoneticPr fontId="9" type="noConversion"/>
  </si>
  <si>
    <t>1125</t>
    <phoneticPr fontId="9" type="noConversion"/>
  </si>
  <si>
    <t>赖腾芳</t>
    <phoneticPr fontId="9" type="noConversion"/>
  </si>
  <si>
    <t>1126</t>
    <phoneticPr fontId="9" type="noConversion"/>
  </si>
  <si>
    <t>谢文烨</t>
    <phoneticPr fontId="9" type="noConversion"/>
  </si>
  <si>
    <t>1127</t>
    <phoneticPr fontId="9" type="noConversion"/>
  </si>
  <si>
    <t>何俊逸</t>
    <phoneticPr fontId="9" type="noConversion"/>
  </si>
  <si>
    <t>1128</t>
    <phoneticPr fontId="9" type="noConversion"/>
  </si>
  <si>
    <t>赖义彬</t>
    <phoneticPr fontId="9" type="noConversion"/>
  </si>
  <si>
    <t>男队 1125赖腾芳 1126谢文烨 1127何俊逸 1128赖义彬</t>
    <phoneticPr fontId="9" type="noConversion"/>
  </si>
  <si>
    <t>女队 1121彭钰朵 1122林钰琪 1123邓小艺 1124包翌珍</t>
    <phoneticPr fontId="9" type="noConversion"/>
  </si>
  <si>
    <t>城关小学１</t>
    <phoneticPr fontId="9" type="noConversion"/>
  </si>
  <si>
    <t>领队：陈振发     教练：徐海华</t>
    <phoneticPr fontId="9" type="noConversion"/>
  </si>
  <si>
    <t>陈欣悦</t>
    <phoneticPr fontId="9" type="noConversion"/>
  </si>
  <si>
    <t>廖梓晗</t>
    <phoneticPr fontId="9" type="noConversion"/>
  </si>
  <si>
    <t>林雨彤</t>
    <phoneticPr fontId="9" type="noConversion"/>
  </si>
  <si>
    <t>尤  好</t>
    <phoneticPr fontId="9" type="noConversion"/>
  </si>
  <si>
    <t>杨智贤</t>
    <phoneticPr fontId="9" type="noConversion"/>
  </si>
  <si>
    <t>罗稚翔</t>
    <phoneticPr fontId="9" type="noConversion"/>
  </si>
  <si>
    <t>谢永成</t>
    <phoneticPr fontId="9" type="noConversion"/>
  </si>
  <si>
    <t>朱  宸</t>
    <phoneticPr fontId="9" type="noConversion"/>
  </si>
  <si>
    <t>男队 1135杨智贤 1136罗稚翔 1137谢永成 1138朱  宸</t>
    <phoneticPr fontId="9" type="noConversion"/>
  </si>
  <si>
    <t>女队 1131陈欣悦 1132廖梓晗 1133林雨彤 1134尤  好</t>
    <phoneticPr fontId="9" type="noConversion"/>
  </si>
  <si>
    <t>城关小学２</t>
    <phoneticPr fontId="9" type="noConversion"/>
  </si>
  <si>
    <t>领队：陈振发     教练：罗娇莲</t>
    <phoneticPr fontId="9" type="noConversion"/>
  </si>
  <si>
    <t>李  涵</t>
    <phoneticPr fontId="9" type="noConversion"/>
  </si>
  <si>
    <t>邓思淇</t>
    <phoneticPr fontId="9" type="noConversion"/>
  </si>
  <si>
    <t>马嘉憶</t>
    <phoneticPr fontId="9" type="noConversion"/>
  </si>
  <si>
    <t>江晗靓</t>
    <phoneticPr fontId="9" type="noConversion"/>
  </si>
  <si>
    <t>黄高雄</t>
    <phoneticPr fontId="9" type="noConversion"/>
  </si>
  <si>
    <t>王家键</t>
    <phoneticPr fontId="9" type="noConversion"/>
  </si>
  <si>
    <t>张宇博</t>
    <phoneticPr fontId="9" type="noConversion"/>
  </si>
  <si>
    <t>杨俊鑫</t>
    <phoneticPr fontId="9" type="noConversion"/>
  </si>
  <si>
    <t>男队 1145黄高雄 1146王家键 1147张宇博 1148杨俊鑫</t>
    <phoneticPr fontId="9" type="noConversion"/>
  </si>
  <si>
    <t>女队 1141李  涵 1142邓思淇 1143马嘉憶 1144江晗靓</t>
    <phoneticPr fontId="9" type="noConversion"/>
  </si>
  <si>
    <t>嵩溪中小</t>
    <phoneticPr fontId="9" type="noConversion"/>
  </si>
  <si>
    <t>领队：黄升华     教练：邓钦斐</t>
    <phoneticPr fontId="9" type="noConversion"/>
  </si>
  <si>
    <t>郑邓熔</t>
    <phoneticPr fontId="9" type="noConversion"/>
  </si>
  <si>
    <t>林欣烨</t>
    <phoneticPr fontId="9" type="noConversion"/>
  </si>
  <si>
    <t>李玉晨</t>
    <phoneticPr fontId="9" type="noConversion"/>
  </si>
  <si>
    <t>吴忻蕊</t>
    <phoneticPr fontId="9" type="noConversion"/>
  </si>
  <si>
    <t>冯浩翔</t>
    <phoneticPr fontId="9" type="noConversion"/>
  </si>
  <si>
    <t>伍志鸿</t>
    <phoneticPr fontId="9" type="noConversion"/>
  </si>
  <si>
    <t>林煜伟</t>
    <phoneticPr fontId="9" type="noConversion"/>
  </si>
  <si>
    <t>彭毅文</t>
    <phoneticPr fontId="9" type="noConversion"/>
  </si>
  <si>
    <t>男队 1305冯浩翔 1306伍志鸿 1307林煜伟 1308彭毅文</t>
    <phoneticPr fontId="9" type="noConversion"/>
  </si>
  <si>
    <t>女队 1301郑邓熔 1302林欣烨 1303李玉晨 1304吴忻蕊</t>
    <phoneticPr fontId="9" type="noConversion"/>
  </si>
  <si>
    <t>嵩口中小</t>
    <phoneticPr fontId="9" type="noConversion"/>
  </si>
  <si>
    <t>领队：邱逢祥     教练：赵义文</t>
    <phoneticPr fontId="9" type="noConversion"/>
  </si>
  <si>
    <t>1601</t>
    <phoneticPr fontId="9" type="noConversion"/>
  </si>
  <si>
    <t>吴淑婷</t>
    <phoneticPr fontId="9" type="noConversion"/>
  </si>
  <si>
    <t>嵩口中小</t>
    <phoneticPr fontId="9" type="noConversion"/>
  </si>
  <si>
    <t>1602</t>
    <phoneticPr fontId="9" type="noConversion"/>
  </si>
  <si>
    <t>陈雨彤</t>
    <phoneticPr fontId="9" type="noConversion"/>
  </si>
  <si>
    <t>1603</t>
    <phoneticPr fontId="9" type="noConversion"/>
  </si>
  <si>
    <t>王水珍</t>
    <phoneticPr fontId="9" type="noConversion"/>
  </si>
  <si>
    <t>1604</t>
    <phoneticPr fontId="9" type="noConversion"/>
  </si>
  <si>
    <t>江雨婷</t>
    <phoneticPr fontId="9" type="noConversion"/>
  </si>
  <si>
    <t>1605</t>
    <phoneticPr fontId="9" type="noConversion"/>
  </si>
  <si>
    <t>张小明</t>
    <phoneticPr fontId="9" type="noConversion"/>
  </si>
  <si>
    <t>1606</t>
    <phoneticPr fontId="9" type="noConversion"/>
  </si>
  <si>
    <t>黄玉辉</t>
    <phoneticPr fontId="9" type="noConversion"/>
  </si>
  <si>
    <t>1607</t>
    <phoneticPr fontId="9" type="noConversion"/>
  </si>
  <si>
    <t>卢  兵</t>
    <phoneticPr fontId="9" type="noConversion"/>
  </si>
  <si>
    <t>1608</t>
    <phoneticPr fontId="9" type="noConversion"/>
  </si>
  <si>
    <t>魏梓茗</t>
    <phoneticPr fontId="9" type="noConversion"/>
  </si>
  <si>
    <t>男队 1605张小明 1606黄玉辉 1607卢  兵 1608魏梓茗</t>
    <phoneticPr fontId="9" type="noConversion"/>
  </si>
  <si>
    <t>女队 1601吴淑婷 1602陈雨彤 1603王水珍 1604江雨婷</t>
    <phoneticPr fontId="9" type="noConversion"/>
  </si>
  <si>
    <t>长校中小</t>
    <phoneticPr fontId="9" type="noConversion"/>
  </si>
  <si>
    <t>领队：王卫华     教练：江慧娟</t>
    <phoneticPr fontId="9" type="noConversion"/>
  </si>
  <si>
    <t>1501</t>
    <phoneticPr fontId="9" type="noConversion"/>
  </si>
  <si>
    <t>李秋月</t>
    <phoneticPr fontId="9" type="noConversion"/>
  </si>
  <si>
    <t>1502</t>
    <phoneticPr fontId="9" type="noConversion"/>
  </si>
  <si>
    <t>李彦蓉</t>
    <phoneticPr fontId="9" type="noConversion"/>
  </si>
  <si>
    <t>1503</t>
    <phoneticPr fontId="9" type="noConversion"/>
  </si>
  <si>
    <t>李诗筠</t>
    <phoneticPr fontId="9" type="noConversion"/>
  </si>
  <si>
    <t>1504</t>
    <phoneticPr fontId="9" type="noConversion"/>
  </si>
  <si>
    <t>李曼丽</t>
    <phoneticPr fontId="9" type="noConversion"/>
  </si>
  <si>
    <t>1505</t>
    <phoneticPr fontId="9" type="noConversion"/>
  </si>
  <si>
    <t>李建鸿</t>
    <phoneticPr fontId="9" type="noConversion"/>
  </si>
  <si>
    <t>1506</t>
    <phoneticPr fontId="9" type="noConversion"/>
  </si>
  <si>
    <t>李文轩</t>
    <phoneticPr fontId="9" type="noConversion"/>
  </si>
  <si>
    <t>1507</t>
    <phoneticPr fontId="9" type="noConversion"/>
  </si>
  <si>
    <t>谢烨灵</t>
    <phoneticPr fontId="9" type="noConversion"/>
  </si>
  <si>
    <t>1508</t>
    <phoneticPr fontId="9" type="noConversion"/>
  </si>
  <si>
    <t>叶焱坤</t>
    <phoneticPr fontId="9" type="noConversion"/>
  </si>
  <si>
    <t>男队 1505李建鸿 1506李文轩 1507谢烨灵 1508叶焱坤</t>
    <phoneticPr fontId="9" type="noConversion"/>
  </si>
  <si>
    <t>女队 1501李秋月 1502李彦蓉 1503李诗筠 1504李曼丽</t>
    <phoneticPr fontId="9" type="noConversion"/>
  </si>
  <si>
    <t>灵地中小</t>
    <phoneticPr fontId="9" type="noConversion"/>
  </si>
  <si>
    <t>领队：张瑜婷     教练：黄水勇</t>
    <phoneticPr fontId="9" type="noConversion"/>
  </si>
  <si>
    <t>罗珑菲</t>
    <phoneticPr fontId="9" type="noConversion"/>
  </si>
  <si>
    <t>罗佳欣</t>
    <phoneticPr fontId="9" type="noConversion"/>
  </si>
  <si>
    <t>毛青琳</t>
    <phoneticPr fontId="9" type="noConversion"/>
  </si>
  <si>
    <t>黄嘉雯</t>
    <phoneticPr fontId="9" type="noConversion"/>
  </si>
  <si>
    <t>罗周立</t>
    <phoneticPr fontId="9" type="noConversion"/>
  </si>
  <si>
    <t>李志雄</t>
    <phoneticPr fontId="9" type="noConversion"/>
  </si>
  <si>
    <t>黄火峰</t>
    <phoneticPr fontId="9" type="noConversion"/>
  </si>
  <si>
    <t>罗俊楠</t>
    <phoneticPr fontId="9" type="noConversion"/>
  </si>
  <si>
    <t>男队 1205罗周立 1206李志雄 1207黄火峰 1208罗俊楠</t>
    <phoneticPr fontId="9" type="noConversion"/>
  </si>
  <si>
    <t>女队 1201罗珑菲 1202罗佳欣 1203毛青琳 1204黄嘉雯</t>
    <phoneticPr fontId="9" type="noConversion"/>
  </si>
  <si>
    <t>赖坊中小</t>
    <phoneticPr fontId="9" type="noConversion"/>
  </si>
  <si>
    <t>领队：赖金文     教练：林威</t>
    <phoneticPr fontId="9" type="noConversion"/>
  </si>
  <si>
    <t>1181</t>
    <phoneticPr fontId="9" type="noConversion"/>
  </si>
  <si>
    <t>林美琪</t>
    <phoneticPr fontId="9" type="noConversion"/>
  </si>
  <si>
    <t>1182</t>
    <phoneticPr fontId="9" type="noConversion"/>
  </si>
  <si>
    <t>上官雪桐</t>
    <phoneticPr fontId="9" type="noConversion"/>
  </si>
  <si>
    <t>1183</t>
    <phoneticPr fontId="9" type="noConversion"/>
  </si>
  <si>
    <t>上官宝媚</t>
    <phoneticPr fontId="9" type="noConversion"/>
  </si>
  <si>
    <t>1184</t>
    <phoneticPr fontId="9" type="noConversion"/>
  </si>
  <si>
    <t>林泽颖</t>
    <phoneticPr fontId="9" type="noConversion"/>
  </si>
  <si>
    <t>1185</t>
    <phoneticPr fontId="9" type="noConversion"/>
  </si>
  <si>
    <t>林思宏</t>
    <phoneticPr fontId="9" type="noConversion"/>
  </si>
  <si>
    <t>1186</t>
    <phoneticPr fontId="9" type="noConversion"/>
  </si>
  <si>
    <t>李  烨</t>
    <phoneticPr fontId="9" type="noConversion"/>
  </si>
  <si>
    <t>1187</t>
    <phoneticPr fontId="9" type="noConversion"/>
  </si>
  <si>
    <t>上官成瀚</t>
    <phoneticPr fontId="9" type="noConversion"/>
  </si>
  <si>
    <t>1188</t>
    <phoneticPr fontId="9" type="noConversion"/>
  </si>
  <si>
    <t>上官浩</t>
    <phoneticPr fontId="9" type="noConversion"/>
  </si>
  <si>
    <t>男队 1185林思宏 1186李  烨 1187上官成瀚 1188上官浩</t>
    <phoneticPr fontId="9" type="noConversion"/>
  </si>
  <si>
    <t>女队 1181林美琪 1182上官雪桐 1183上官宝媚 1184林泽颖</t>
    <phoneticPr fontId="9" type="noConversion"/>
  </si>
  <si>
    <t>田源中小</t>
    <phoneticPr fontId="9" type="noConversion"/>
  </si>
  <si>
    <t>领队：黄润辉     教练：刘专伟</t>
    <phoneticPr fontId="9" type="noConversion"/>
  </si>
  <si>
    <t>黄雨鑫</t>
    <phoneticPr fontId="9" type="noConversion"/>
  </si>
  <si>
    <t>廖俊瑶</t>
    <phoneticPr fontId="9" type="noConversion"/>
  </si>
  <si>
    <t>陈美钰</t>
    <phoneticPr fontId="9" type="noConversion"/>
  </si>
  <si>
    <t>陈梦欣</t>
    <phoneticPr fontId="9" type="noConversion"/>
  </si>
  <si>
    <t>吴新炜</t>
    <phoneticPr fontId="9" type="noConversion"/>
  </si>
  <si>
    <t>廖  凡</t>
    <phoneticPr fontId="9" type="noConversion"/>
  </si>
  <si>
    <t>黄文辉</t>
    <phoneticPr fontId="9" type="noConversion"/>
  </si>
  <si>
    <t>黄景佳</t>
    <phoneticPr fontId="9" type="noConversion"/>
  </si>
  <si>
    <t>男队 1195吴新炜 1196廖  凡 1197黄文辉 1198黄景佳</t>
    <phoneticPr fontId="9" type="noConversion"/>
  </si>
  <si>
    <t>女队 1191黄雨鑫 1192廖俊瑶 1193陈美钰 1194陈梦欣</t>
    <phoneticPr fontId="9" type="noConversion"/>
  </si>
  <si>
    <t>邓家小学</t>
    <phoneticPr fontId="9" type="noConversion"/>
  </si>
  <si>
    <t>领队：黄朝阳     教练：傅锡明</t>
    <phoneticPr fontId="9" type="noConversion"/>
  </si>
  <si>
    <t>范秋菊</t>
    <phoneticPr fontId="9" type="noConversion"/>
  </si>
  <si>
    <t>邓苏梅</t>
    <phoneticPr fontId="9" type="noConversion"/>
  </si>
  <si>
    <t>邓丁香</t>
    <phoneticPr fontId="9" type="noConversion"/>
  </si>
  <si>
    <t>江宇欣</t>
    <phoneticPr fontId="9" type="noConversion"/>
  </si>
  <si>
    <t>邓灯伟</t>
    <phoneticPr fontId="9" type="noConversion"/>
  </si>
  <si>
    <t>王骏鸿</t>
    <phoneticPr fontId="9" type="noConversion"/>
  </si>
  <si>
    <t>邓健祥</t>
    <phoneticPr fontId="9" type="noConversion"/>
  </si>
  <si>
    <t>黄龙军</t>
    <phoneticPr fontId="9" type="noConversion"/>
  </si>
  <si>
    <t>男队 1275邓灯伟 1276王骏鸿 1277邓健祥 1278黄龙军</t>
    <phoneticPr fontId="9" type="noConversion"/>
  </si>
  <si>
    <t>女队 1271范秋菊 1272邓苏梅 1273邓丁香 1274江宇欣</t>
    <phoneticPr fontId="9" type="noConversion"/>
  </si>
  <si>
    <t>李家中小</t>
    <phoneticPr fontId="9" type="noConversion"/>
  </si>
  <si>
    <t>领队：荚婧瑞     教练：李梓发</t>
    <phoneticPr fontId="9" type="noConversion"/>
  </si>
  <si>
    <t>李  兰</t>
    <phoneticPr fontId="9" type="noConversion"/>
  </si>
  <si>
    <t>李梦瑶</t>
    <phoneticPr fontId="9" type="noConversion"/>
  </si>
  <si>
    <t>1213</t>
    <phoneticPr fontId="9" type="noConversion"/>
  </si>
  <si>
    <t>李思语</t>
    <phoneticPr fontId="9" type="noConversion"/>
  </si>
  <si>
    <t>1214</t>
    <phoneticPr fontId="9" type="noConversion"/>
  </si>
  <si>
    <t>林可儿</t>
    <phoneticPr fontId="9" type="noConversion"/>
  </si>
  <si>
    <t>1215</t>
    <phoneticPr fontId="9" type="noConversion"/>
  </si>
  <si>
    <t>肖悦华</t>
    <phoneticPr fontId="9" type="noConversion"/>
  </si>
  <si>
    <t>1216</t>
    <phoneticPr fontId="9" type="noConversion"/>
  </si>
  <si>
    <t>李嘉浩</t>
    <phoneticPr fontId="9" type="noConversion"/>
  </si>
  <si>
    <t>1217</t>
    <phoneticPr fontId="9" type="noConversion"/>
  </si>
  <si>
    <t>李吉华</t>
    <phoneticPr fontId="9" type="noConversion"/>
  </si>
  <si>
    <t>1218</t>
    <phoneticPr fontId="9" type="noConversion"/>
  </si>
  <si>
    <t>李吉添</t>
    <phoneticPr fontId="9" type="noConversion"/>
  </si>
  <si>
    <t>男队 1215肖悦华 1216李嘉浩 1217李吉华 1218李吉添</t>
    <phoneticPr fontId="9" type="noConversion"/>
  </si>
  <si>
    <t>女队 1211李  兰 1212李梦瑶 1213李思语 1214林可儿</t>
    <phoneticPr fontId="9" type="noConversion"/>
  </si>
  <si>
    <t>沙芜中小</t>
    <phoneticPr fontId="9" type="noConversion"/>
  </si>
  <si>
    <t>领队：李华勤     教练：李华勤</t>
    <phoneticPr fontId="9" type="noConversion"/>
  </si>
  <si>
    <t>刘美惠</t>
    <phoneticPr fontId="9" type="noConversion"/>
  </si>
  <si>
    <t>赖思怡</t>
    <phoneticPr fontId="9" type="noConversion"/>
  </si>
  <si>
    <t>刘忆婷</t>
    <phoneticPr fontId="9" type="noConversion"/>
  </si>
  <si>
    <t>吴  玥</t>
    <phoneticPr fontId="9" type="noConversion"/>
  </si>
  <si>
    <t>陈祥滨</t>
    <phoneticPr fontId="9" type="noConversion"/>
  </si>
  <si>
    <t>严帆远</t>
    <phoneticPr fontId="9" type="noConversion"/>
  </si>
  <si>
    <t>黄将鸿</t>
    <phoneticPr fontId="9" type="noConversion"/>
  </si>
  <si>
    <t>严俊豪</t>
    <phoneticPr fontId="9" type="noConversion"/>
  </si>
  <si>
    <t>男队 1225陈祥滨 1226严帆远 1227黄将鸿 1228严俊豪</t>
    <phoneticPr fontId="9" type="noConversion"/>
  </si>
  <si>
    <t>女队 1221刘美惠 1222赖思怡 1223刘忆婷 1224吴  玥</t>
    <phoneticPr fontId="9" type="noConversion"/>
  </si>
  <si>
    <t>林畲中小</t>
    <phoneticPr fontId="9" type="noConversion"/>
  </si>
  <si>
    <t>领队：杨青华     教练：杨森云</t>
    <phoneticPr fontId="9" type="noConversion"/>
  </si>
  <si>
    <t>1231</t>
    <phoneticPr fontId="9" type="noConversion"/>
  </si>
  <si>
    <t>邱予熙</t>
    <phoneticPr fontId="9" type="noConversion"/>
  </si>
  <si>
    <t>1232</t>
    <phoneticPr fontId="9" type="noConversion"/>
  </si>
  <si>
    <t>邱惠华</t>
    <phoneticPr fontId="9" type="noConversion"/>
  </si>
  <si>
    <t>1233</t>
    <phoneticPr fontId="9" type="noConversion"/>
  </si>
  <si>
    <t>温文珍</t>
    <phoneticPr fontId="9" type="noConversion"/>
  </si>
  <si>
    <t>1234</t>
    <phoneticPr fontId="9" type="noConversion"/>
  </si>
  <si>
    <t>江奕秀</t>
    <phoneticPr fontId="9" type="noConversion"/>
  </si>
  <si>
    <t>1235</t>
    <phoneticPr fontId="9" type="noConversion"/>
  </si>
  <si>
    <t>杨文翔</t>
    <phoneticPr fontId="9" type="noConversion"/>
  </si>
  <si>
    <t>1236</t>
    <phoneticPr fontId="9" type="noConversion"/>
  </si>
  <si>
    <t>曾国峰</t>
    <phoneticPr fontId="9" type="noConversion"/>
  </si>
  <si>
    <t>1237</t>
    <phoneticPr fontId="9" type="noConversion"/>
  </si>
  <si>
    <t>邱  睿</t>
    <phoneticPr fontId="9" type="noConversion"/>
  </si>
  <si>
    <t>1238</t>
    <phoneticPr fontId="9" type="noConversion"/>
  </si>
  <si>
    <t>邱骏熙</t>
    <phoneticPr fontId="9" type="noConversion"/>
  </si>
  <si>
    <t>男队 1235杨文翔 1236曾国峰 1237邱  睿 1238邱骏熙</t>
    <phoneticPr fontId="9" type="noConversion"/>
  </si>
  <si>
    <t>女队 1231邱予熙 1232邱惠华 1233温文珍 1234江奕秀</t>
    <phoneticPr fontId="9" type="noConversion"/>
  </si>
  <si>
    <t>温郊中小</t>
    <phoneticPr fontId="9" type="noConversion"/>
  </si>
  <si>
    <t>领队：温荣辉     教练：刘显烨</t>
    <phoneticPr fontId="9" type="noConversion"/>
  </si>
  <si>
    <t>温淑仪</t>
    <phoneticPr fontId="9" type="noConversion"/>
  </si>
  <si>
    <t>陈若曦</t>
    <phoneticPr fontId="9" type="noConversion"/>
  </si>
  <si>
    <t>伍欣怡</t>
    <phoneticPr fontId="9" type="noConversion"/>
  </si>
  <si>
    <t>温语殷</t>
    <phoneticPr fontId="9" type="noConversion"/>
  </si>
  <si>
    <t>黄子凌</t>
    <phoneticPr fontId="9" type="noConversion"/>
  </si>
  <si>
    <t>温立涵</t>
    <phoneticPr fontId="9" type="noConversion"/>
  </si>
  <si>
    <t>吴健城</t>
    <phoneticPr fontId="9" type="noConversion"/>
  </si>
  <si>
    <t>温家全</t>
    <phoneticPr fontId="9" type="noConversion"/>
  </si>
  <si>
    <t>男队 1245黄子凌 1246温立涵 1247吴健城 1248温家全</t>
    <phoneticPr fontId="9" type="noConversion"/>
  </si>
  <si>
    <t>女队 1241温淑仪 1242陈若曦 1243伍欣怡 1244温语殷</t>
    <phoneticPr fontId="9" type="noConversion"/>
  </si>
  <si>
    <t>余朋中小</t>
    <phoneticPr fontId="9" type="noConversion"/>
  </si>
  <si>
    <t>领队：陈昌标     教练：陈昇</t>
    <phoneticPr fontId="9" type="noConversion"/>
  </si>
  <si>
    <t>陈桂花</t>
    <phoneticPr fontId="9" type="noConversion"/>
  </si>
  <si>
    <t>巫程曦</t>
    <phoneticPr fontId="9" type="noConversion"/>
  </si>
  <si>
    <t>陈鑫瑶</t>
    <phoneticPr fontId="9" type="noConversion"/>
  </si>
  <si>
    <t>陈思语</t>
    <phoneticPr fontId="9" type="noConversion"/>
  </si>
  <si>
    <t>兰聪杰</t>
    <phoneticPr fontId="9" type="noConversion"/>
  </si>
  <si>
    <t>陈建豪</t>
    <phoneticPr fontId="9" type="noConversion"/>
  </si>
  <si>
    <t>陈宇翔</t>
    <phoneticPr fontId="9" type="noConversion"/>
  </si>
  <si>
    <t>陈其任</t>
    <phoneticPr fontId="9" type="noConversion"/>
  </si>
  <si>
    <t>男队 1255兰聪杰 1256陈建豪 1257陈宇翔 1258陈其任</t>
    <phoneticPr fontId="9" type="noConversion"/>
  </si>
  <si>
    <t>女队 1251陈桂花 1252巫程曦 1253陈鑫瑶 1254陈思语</t>
    <phoneticPr fontId="9" type="noConversion"/>
  </si>
  <si>
    <t>里田中小</t>
    <phoneticPr fontId="9" type="noConversion"/>
  </si>
  <si>
    <t>领队：巫朝明     教练：廖基禄</t>
    <phoneticPr fontId="9" type="noConversion"/>
  </si>
  <si>
    <t>1261</t>
    <phoneticPr fontId="9" type="noConversion"/>
  </si>
  <si>
    <t>刘梓喧</t>
    <phoneticPr fontId="9" type="noConversion"/>
  </si>
  <si>
    <t>1262</t>
    <phoneticPr fontId="9" type="noConversion"/>
  </si>
  <si>
    <t>廖丽婷</t>
    <phoneticPr fontId="9" type="noConversion"/>
  </si>
  <si>
    <t>1263</t>
    <phoneticPr fontId="9" type="noConversion"/>
  </si>
  <si>
    <t>罗  涵</t>
    <phoneticPr fontId="9" type="noConversion"/>
  </si>
  <si>
    <t>1264</t>
    <phoneticPr fontId="9" type="noConversion"/>
  </si>
  <si>
    <t>罗玉仙</t>
    <phoneticPr fontId="9" type="noConversion"/>
  </si>
  <si>
    <t>1265</t>
    <phoneticPr fontId="9" type="noConversion"/>
  </si>
  <si>
    <t>罗轩宇</t>
    <phoneticPr fontId="9" type="noConversion"/>
  </si>
  <si>
    <t>1266</t>
    <phoneticPr fontId="9" type="noConversion"/>
  </si>
  <si>
    <t>廖辉廷</t>
    <phoneticPr fontId="9" type="noConversion"/>
  </si>
  <si>
    <t>1267</t>
    <phoneticPr fontId="9" type="noConversion"/>
  </si>
  <si>
    <t>廖家铭</t>
    <phoneticPr fontId="9" type="noConversion"/>
  </si>
  <si>
    <t>1268</t>
    <phoneticPr fontId="9" type="noConversion"/>
  </si>
  <si>
    <t>李忠良</t>
    <phoneticPr fontId="9" type="noConversion"/>
  </si>
  <si>
    <t>男队 1265罗轩宇 1266廖辉廷 1267廖家铭 1268李忠良</t>
    <phoneticPr fontId="9" type="noConversion"/>
  </si>
  <si>
    <t>女队 1261刘梓喧 1262廖丽婷 1263罗  涵 1264罗玉仙</t>
    <phoneticPr fontId="9" type="noConversion"/>
  </si>
  <si>
    <t>屏山小学1</t>
    <phoneticPr fontId="9" type="noConversion"/>
  </si>
  <si>
    <t>领队：张助荣     教练：陈世彬</t>
    <phoneticPr fontId="9" type="noConversion"/>
  </si>
  <si>
    <t>王鑫晨</t>
    <phoneticPr fontId="9" type="noConversion"/>
  </si>
  <si>
    <t>黄佳琪</t>
    <phoneticPr fontId="9" type="noConversion"/>
  </si>
  <si>
    <t>林紫涵</t>
    <phoneticPr fontId="9" type="noConversion"/>
  </si>
  <si>
    <t>赵丽苹</t>
    <phoneticPr fontId="9" type="noConversion"/>
  </si>
  <si>
    <t>李奕博</t>
    <phoneticPr fontId="9" type="noConversion"/>
  </si>
  <si>
    <t>李文涛</t>
    <phoneticPr fontId="9" type="noConversion"/>
  </si>
  <si>
    <t>吴流浩</t>
    <phoneticPr fontId="9" type="noConversion"/>
  </si>
  <si>
    <t>黄健杰</t>
    <phoneticPr fontId="9" type="noConversion"/>
  </si>
  <si>
    <t>男队 1295李奕博 1296李文涛 1297吴流浩 1298黄健杰</t>
    <phoneticPr fontId="9" type="noConversion"/>
  </si>
  <si>
    <t>女队 1291王鑫晨 1292黄佳琪 1293林紫涵 1294赵丽苹</t>
    <phoneticPr fontId="9" type="noConversion"/>
  </si>
  <si>
    <t>屏山小学2</t>
    <phoneticPr fontId="9" type="noConversion"/>
  </si>
  <si>
    <t>领队：张助荣     教练：赖建辉</t>
    <phoneticPr fontId="9" type="noConversion"/>
  </si>
  <si>
    <t>1281</t>
    <phoneticPr fontId="9" type="noConversion"/>
  </si>
  <si>
    <t>肖  可</t>
    <phoneticPr fontId="9" type="noConversion"/>
  </si>
  <si>
    <t>1282</t>
    <phoneticPr fontId="9" type="noConversion"/>
  </si>
  <si>
    <t>李欣悦</t>
    <phoneticPr fontId="9" type="noConversion"/>
  </si>
  <si>
    <t>1283</t>
    <phoneticPr fontId="9" type="noConversion"/>
  </si>
  <si>
    <t>陈佳琪</t>
    <phoneticPr fontId="9" type="noConversion"/>
  </si>
  <si>
    <t>1284</t>
    <phoneticPr fontId="9" type="noConversion"/>
  </si>
  <si>
    <t>林佳玲</t>
    <phoneticPr fontId="9" type="noConversion"/>
  </si>
  <si>
    <t>1285</t>
    <phoneticPr fontId="9" type="noConversion"/>
  </si>
  <si>
    <t>余俊逸</t>
    <phoneticPr fontId="9" type="noConversion"/>
  </si>
  <si>
    <t>1286</t>
    <phoneticPr fontId="9" type="noConversion"/>
  </si>
  <si>
    <t>李镇涛</t>
    <phoneticPr fontId="9" type="noConversion"/>
  </si>
  <si>
    <t>1287</t>
    <phoneticPr fontId="9" type="noConversion"/>
  </si>
  <si>
    <t>曾智明</t>
    <phoneticPr fontId="9" type="noConversion"/>
  </si>
  <si>
    <t>1288</t>
    <phoneticPr fontId="9" type="noConversion"/>
  </si>
  <si>
    <t>蓝  柠</t>
    <phoneticPr fontId="9" type="noConversion"/>
  </si>
  <si>
    <t>男队 1285余俊逸 1286李镇涛 1287曾智明 1288蓝  柠</t>
    <phoneticPr fontId="9" type="noConversion"/>
  </si>
  <si>
    <t>女队 1281肖  可 1282李欣悦 1283陈佳琪 1284林佳玲</t>
    <phoneticPr fontId="9" type="noConversion"/>
  </si>
  <si>
    <t>龙津小学1</t>
    <phoneticPr fontId="9" type="noConversion"/>
  </si>
  <si>
    <t>领队：何英萍     教练：郑明哲</t>
    <phoneticPr fontId="9" type="noConversion"/>
  </si>
  <si>
    <t>1401</t>
    <phoneticPr fontId="9" type="noConversion"/>
  </si>
  <si>
    <t>王  煜</t>
    <phoneticPr fontId="9" type="noConversion"/>
  </si>
  <si>
    <t>1402</t>
  </si>
  <si>
    <t>1402</t>
    <phoneticPr fontId="9" type="noConversion"/>
  </si>
  <si>
    <t>魏淑琳</t>
    <phoneticPr fontId="9" type="noConversion"/>
  </si>
  <si>
    <t>1403</t>
    <phoneticPr fontId="9" type="noConversion"/>
  </si>
  <si>
    <t>巫文彦</t>
    <phoneticPr fontId="9" type="noConversion"/>
  </si>
  <si>
    <t>1403</t>
    <phoneticPr fontId="9" type="noConversion"/>
  </si>
  <si>
    <t>1404</t>
    <phoneticPr fontId="9" type="noConversion"/>
  </si>
  <si>
    <t>黄  欣</t>
    <phoneticPr fontId="9" type="noConversion"/>
  </si>
  <si>
    <t>1404</t>
    <phoneticPr fontId="9" type="noConversion"/>
  </si>
  <si>
    <t>1405</t>
    <phoneticPr fontId="9" type="noConversion"/>
  </si>
  <si>
    <t>江风顺</t>
    <phoneticPr fontId="9" type="noConversion"/>
  </si>
  <si>
    <t>1405</t>
    <phoneticPr fontId="9" type="noConversion"/>
  </si>
  <si>
    <t>1406</t>
    <phoneticPr fontId="9" type="noConversion"/>
  </si>
  <si>
    <t>许宇宸</t>
    <phoneticPr fontId="9" type="noConversion"/>
  </si>
  <si>
    <t>1406</t>
    <phoneticPr fontId="9" type="noConversion"/>
  </si>
  <si>
    <t>1407</t>
    <phoneticPr fontId="9" type="noConversion"/>
  </si>
  <si>
    <t>邹文浩</t>
    <phoneticPr fontId="9" type="noConversion"/>
  </si>
  <si>
    <t>1407</t>
    <phoneticPr fontId="9" type="noConversion"/>
  </si>
  <si>
    <t>1408</t>
    <phoneticPr fontId="9" type="noConversion"/>
  </si>
  <si>
    <t>阳圣杰</t>
    <phoneticPr fontId="9" type="noConversion"/>
  </si>
  <si>
    <t>1408</t>
    <phoneticPr fontId="9" type="noConversion"/>
  </si>
  <si>
    <t>男队 1405江风顺 1406许宇宸 1407邹文浩 1408阳圣杰</t>
    <phoneticPr fontId="9" type="noConversion"/>
  </si>
  <si>
    <t>女队 1401王  煜 1402魏淑琳 1403巫文彦 1404黄  欣</t>
    <phoneticPr fontId="9" type="noConversion"/>
  </si>
  <si>
    <t>龙津小学2</t>
    <phoneticPr fontId="9" type="noConversion"/>
  </si>
  <si>
    <t>领队：何英萍     教练：李慧琴</t>
    <phoneticPr fontId="9" type="noConversion"/>
  </si>
  <si>
    <t>1411</t>
    <phoneticPr fontId="9" type="noConversion"/>
  </si>
  <si>
    <t>刘佳慧</t>
    <phoneticPr fontId="9" type="noConversion"/>
  </si>
  <si>
    <t>1412</t>
    <phoneticPr fontId="9" type="noConversion"/>
  </si>
  <si>
    <t>邓艺清</t>
    <phoneticPr fontId="9" type="noConversion"/>
  </si>
  <si>
    <t>1413</t>
    <phoneticPr fontId="9" type="noConversion"/>
  </si>
  <si>
    <t>蔡敏芝</t>
    <phoneticPr fontId="9" type="noConversion"/>
  </si>
  <si>
    <t>1413</t>
    <phoneticPr fontId="9" type="noConversion"/>
  </si>
  <si>
    <t>1414</t>
    <phoneticPr fontId="9" type="noConversion"/>
  </si>
  <si>
    <t>李钰珠</t>
    <phoneticPr fontId="9" type="noConversion"/>
  </si>
  <si>
    <t>1414</t>
    <phoneticPr fontId="9" type="noConversion"/>
  </si>
  <si>
    <t>1415</t>
    <phoneticPr fontId="9" type="noConversion"/>
  </si>
  <si>
    <t>黄炜家</t>
  </si>
  <si>
    <t>黄炜家</t>
    <phoneticPr fontId="9" type="noConversion"/>
  </si>
  <si>
    <t>1415</t>
    <phoneticPr fontId="9" type="noConversion"/>
  </si>
  <si>
    <t>1416</t>
    <phoneticPr fontId="9" type="noConversion"/>
  </si>
  <si>
    <t>陈俊杰</t>
  </si>
  <si>
    <t>陈俊杰</t>
    <phoneticPr fontId="9" type="noConversion"/>
  </si>
  <si>
    <t>1416</t>
    <phoneticPr fontId="9" type="noConversion"/>
  </si>
  <si>
    <t>1417</t>
    <phoneticPr fontId="9" type="noConversion"/>
  </si>
  <si>
    <t>陈庄杰</t>
  </si>
  <si>
    <t>陈庄杰</t>
    <phoneticPr fontId="9" type="noConversion"/>
  </si>
  <si>
    <t>1417</t>
    <phoneticPr fontId="9" type="noConversion"/>
  </si>
  <si>
    <t>1418</t>
    <phoneticPr fontId="9" type="noConversion"/>
  </si>
  <si>
    <t>1418</t>
    <phoneticPr fontId="9" type="noConversion"/>
  </si>
  <si>
    <t>男队 1415黄炜家 1416陈俊杰 1417陈庄杰</t>
    <phoneticPr fontId="9" type="noConversion"/>
  </si>
  <si>
    <t>女队 1411刘佳慧 1412邓艺清 1413蔡敏芝 1414李钰珠</t>
    <phoneticPr fontId="9" type="noConversion"/>
  </si>
  <si>
    <t>城关中学1</t>
    <phoneticPr fontId="9" type="noConversion"/>
  </si>
  <si>
    <t>领队：王荣生     教练：谢观勇</t>
    <phoneticPr fontId="9" type="noConversion"/>
  </si>
  <si>
    <t>2411</t>
    <phoneticPr fontId="9" type="noConversion"/>
  </si>
  <si>
    <t>黄紫梅</t>
    <phoneticPr fontId="9" type="noConversion"/>
  </si>
  <si>
    <t>吴宇欣</t>
    <phoneticPr fontId="9" type="noConversion"/>
  </si>
  <si>
    <t>中长跑</t>
    <phoneticPr fontId="9" type="noConversion"/>
  </si>
  <si>
    <t>2413</t>
    <phoneticPr fontId="9" type="noConversion"/>
  </si>
  <si>
    <t>罗烨梅</t>
    <phoneticPr fontId="9" type="noConversion"/>
  </si>
  <si>
    <t>2414</t>
    <phoneticPr fontId="9" type="noConversion"/>
  </si>
  <si>
    <t>林佳妍</t>
    <phoneticPr fontId="9" type="noConversion"/>
  </si>
  <si>
    <t>铅球</t>
    <phoneticPr fontId="9" type="noConversion"/>
  </si>
  <si>
    <t>2415</t>
    <phoneticPr fontId="9" type="noConversion"/>
  </si>
  <si>
    <t>黄有彬</t>
    <phoneticPr fontId="9" type="noConversion"/>
  </si>
  <si>
    <t>2416</t>
    <phoneticPr fontId="9" type="noConversion"/>
  </si>
  <si>
    <t>康琳娜</t>
    <phoneticPr fontId="9" type="noConversion"/>
  </si>
  <si>
    <t>2417</t>
    <phoneticPr fontId="9" type="noConversion"/>
  </si>
  <si>
    <t>林煜阳</t>
    <phoneticPr fontId="9" type="noConversion"/>
  </si>
  <si>
    <t>2418</t>
    <phoneticPr fontId="9" type="noConversion"/>
  </si>
  <si>
    <t>张嘉伟</t>
    <phoneticPr fontId="9" type="noConversion"/>
  </si>
  <si>
    <t>男队 2417林煜阳 2418张嘉伟</t>
    <phoneticPr fontId="9" type="noConversion"/>
  </si>
  <si>
    <t>女队 2411黄紫梅 2412吴宇欣 2413罗烨梅 2414林佳妍 2415黄有彬 2416康琳娜</t>
    <phoneticPr fontId="9" type="noConversion"/>
  </si>
  <si>
    <t>2419</t>
    <phoneticPr fontId="9" type="noConversion"/>
  </si>
  <si>
    <t>李冠颉</t>
    <phoneticPr fontId="9" type="noConversion"/>
  </si>
  <si>
    <t>241a</t>
    <phoneticPr fontId="9" type="noConversion"/>
  </si>
  <si>
    <t>赖英林</t>
    <phoneticPr fontId="9" type="noConversion"/>
  </si>
  <si>
    <t>241b</t>
    <phoneticPr fontId="9" type="noConversion"/>
  </si>
  <si>
    <t>吴钰龙</t>
    <phoneticPr fontId="9" type="noConversion"/>
  </si>
  <si>
    <t>241c</t>
    <phoneticPr fontId="9" type="noConversion"/>
  </si>
  <si>
    <t>林  锐</t>
    <phoneticPr fontId="9" type="noConversion"/>
  </si>
  <si>
    <t>241</t>
  </si>
  <si>
    <t>241</t>
    <phoneticPr fontId="9" type="noConversion"/>
  </si>
  <si>
    <t>女队</t>
  </si>
  <si>
    <t>女队</t>
    <phoneticPr fontId="9" type="noConversion"/>
  </si>
  <si>
    <t>城关中学2</t>
    <phoneticPr fontId="9" type="noConversion"/>
  </si>
  <si>
    <t>领队：王荣生     教练：巫秀娟</t>
    <phoneticPr fontId="9" type="noConversion"/>
  </si>
  <si>
    <t>2421</t>
  </si>
  <si>
    <t>2421</t>
    <phoneticPr fontId="9" type="noConversion"/>
  </si>
  <si>
    <t>蔡钦妍</t>
    <phoneticPr fontId="9" type="noConversion"/>
  </si>
  <si>
    <t>2422</t>
    <phoneticPr fontId="9" type="noConversion"/>
  </si>
  <si>
    <t>邱欣怡</t>
    <phoneticPr fontId="9" type="noConversion"/>
  </si>
  <si>
    <t>2423</t>
  </si>
  <si>
    <t>2423</t>
    <phoneticPr fontId="9" type="noConversion"/>
  </si>
  <si>
    <t>罗阳阳</t>
    <phoneticPr fontId="9" type="noConversion"/>
  </si>
  <si>
    <t>2424</t>
    <phoneticPr fontId="9" type="noConversion"/>
  </si>
  <si>
    <t>罗  祺</t>
    <phoneticPr fontId="9" type="noConversion"/>
  </si>
  <si>
    <t>2425</t>
    <phoneticPr fontId="9" type="noConversion"/>
  </si>
  <si>
    <t>罗雅馨</t>
    <phoneticPr fontId="9" type="noConversion"/>
  </si>
  <si>
    <t>2426</t>
    <phoneticPr fontId="9" type="noConversion"/>
  </si>
  <si>
    <t>林  芯</t>
    <phoneticPr fontId="9" type="noConversion"/>
  </si>
  <si>
    <t>2427</t>
  </si>
  <si>
    <t>2427</t>
    <phoneticPr fontId="9" type="noConversion"/>
  </si>
  <si>
    <t>陈  皓</t>
    <phoneticPr fontId="9" type="noConversion"/>
  </si>
  <si>
    <t>2428</t>
    <phoneticPr fontId="9" type="noConversion"/>
  </si>
  <si>
    <t>江兴隆</t>
    <phoneticPr fontId="9" type="noConversion"/>
  </si>
  <si>
    <t>男队 2427陈  皓 2428江兴隆</t>
    <phoneticPr fontId="9" type="noConversion"/>
  </si>
  <si>
    <t>女队 2421蔡钦妍 2422邱欣怡 2423罗阳阳 2424罗  祺 2425罗雅馨 2426林  芯</t>
    <phoneticPr fontId="9" type="noConversion"/>
  </si>
  <si>
    <t>城关中学2</t>
    <phoneticPr fontId="9" type="noConversion"/>
  </si>
  <si>
    <t>2429</t>
    <phoneticPr fontId="9" type="noConversion"/>
  </si>
  <si>
    <t>黄平彬</t>
    <phoneticPr fontId="9" type="noConversion"/>
  </si>
  <si>
    <t>赖华锋</t>
    <phoneticPr fontId="9" type="noConversion"/>
  </si>
  <si>
    <t>242a</t>
    <phoneticPr fontId="9" type="noConversion"/>
  </si>
  <si>
    <t>李富翔</t>
    <phoneticPr fontId="9" type="noConversion"/>
  </si>
  <si>
    <t>242b</t>
    <phoneticPr fontId="9" type="noConversion"/>
  </si>
  <si>
    <t>林楷瑞</t>
    <phoneticPr fontId="9" type="noConversion"/>
  </si>
  <si>
    <t>242c</t>
    <phoneticPr fontId="9" type="noConversion"/>
  </si>
  <si>
    <t>242</t>
    <phoneticPr fontId="9" type="noConversion"/>
  </si>
  <si>
    <t>男队 2429黄平彬 242a赖华锋 242b李富翔 242c林楷瑞</t>
    <phoneticPr fontId="9" type="noConversion"/>
  </si>
  <si>
    <t>城关中学3</t>
    <phoneticPr fontId="9" type="noConversion"/>
  </si>
  <si>
    <t>领队：王荣生     教练：罗仙梅</t>
    <phoneticPr fontId="9" type="noConversion"/>
  </si>
  <si>
    <t>伍钰涵</t>
    <phoneticPr fontId="9" type="noConversion"/>
  </si>
  <si>
    <t>城关中学3</t>
    <phoneticPr fontId="9" type="noConversion"/>
  </si>
  <si>
    <t>2432</t>
  </si>
  <si>
    <t>2432</t>
    <phoneticPr fontId="9" type="noConversion"/>
  </si>
  <si>
    <t>廖佳怡</t>
    <phoneticPr fontId="9" type="noConversion"/>
  </si>
  <si>
    <t>陈  蕾</t>
    <phoneticPr fontId="9" type="noConversion"/>
  </si>
  <si>
    <t>2434</t>
  </si>
  <si>
    <t>2434</t>
    <phoneticPr fontId="9" type="noConversion"/>
  </si>
  <si>
    <t>黄思羽</t>
    <phoneticPr fontId="9" type="noConversion"/>
  </si>
  <si>
    <t>2435</t>
  </si>
  <si>
    <t>2435</t>
    <phoneticPr fontId="9" type="noConversion"/>
  </si>
  <si>
    <t>王斯瑶</t>
    <phoneticPr fontId="9" type="noConversion"/>
  </si>
  <si>
    <t>2436</t>
  </si>
  <si>
    <t>2436</t>
    <phoneticPr fontId="9" type="noConversion"/>
  </si>
  <si>
    <t>江静茹</t>
    <phoneticPr fontId="9" type="noConversion"/>
  </si>
  <si>
    <t>吴联辉</t>
    <phoneticPr fontId="9" type="noConversion"/>
  </si>
  <si>
    <t>2438</t>
  </si>
  <si>
    <t>2438</t>
    <phoneticPr fontId="9" type="noConversion"/>
  </si>
  <si>
    <t>罗海斌</t>
    <phoneticPr fontId="9" type="noConversion"/>
  </si>
  <si>
    <t>男队 2437吴联辉 2438罗海斌</t>
    <phoneticPr fontId="9" type="noConversion"/>
  </si>
  <si>
    <t>女队 2431伍钰涵 2432廖佳怡 2433陈  蕾 2434黄思羽 2435王斯瑶 2436江静茹</t>
    <phoneticPr fontId="9" type="noConversion"/>
  </si>
  <si>
    <t>2439</t>
    <phoneticPr fontId="9" type="noConversion"/>
  </si>
  <si>
    <t>林宇杭</t>
    <phoneticPr fontId="9" type="noConversion"/>
  </si>
  <si>
    <t>243a</t>
    <phoneticPr fontId="9" type="noConversion"/>
  </si>
  <si>
    <t>赖景鑫</t>
    <phoneticPr fontId="9" type="noConversion"/>
  </si>
  <si>
    <t>243b</t>
    <phoneticPr fontId="9" type="noConversion"/>
  </si>
  <si>
    <t>黄俊豪</t>
    <phoneticPr fontId="9" type="noConversion"/>
  </si>
  <si>
    <t>243c</t>
    <phoneticPr fontId="9" type="noConversion"/>
  </si>
  <si>
    <t>李华敏</t>
    <phoneticPr fontId="9" type="noConversion"/>
  </si>
  <si>
    <t>243</t>
    <phoneticPr fontId="9" type="noConversion"/>
  </si>
  <si>
    <t>男队 2439林宇杭 243a赖景鑫 243b黄俊豪 243c李华敏</t>
    <phoneticPr fontId="9" type="noConversion"/>
  </si>
  <si>
    <t>实验中学1</t>
    <phoneticPr fontId="9" type="noConversion"/>
  </si>
  <si>
    <t>领队：余斌     教练：江健威</t>
    <phoneticPr fontId="9" type="noConversion"/>
  </si>
  <si>
    <t>蓝歆源</t>
    <phoneticPr fontId="9" type="noConversion"/>
  </si>
  <si>
    <t>100米</t>
    <phoneticPr fontId="9" type="noConversion"/>
  </si>
  <si>
    <t>200米</t>
    <phoneticPr fontId="9" type="noConversion"/>
  </si>
  <si>
    <t>李  萱</t>
    <phoneticPr fontId="9" type="noConversion"/>
  </si>
  <si>
    <t>王  婷</t>
    <phoneticPr fontId="9" type="noConversion"/>
  </si>
  <si>
    <t>400米</t>
    <phoneticPr fontId="9" type="noConversion"/>
  </si>
  <si>
    <t>中长跑</t>
    <phoneticPr fontId="9" type="noConversion"/>
  </si>
  <si>
    <t>罗鑫儿</t>
    <phoneticPr fontId="9" type="noConversion"/>
  </si>
  <si>
    <t>陈玉淇</t>
    <phoneticPr fontId="9" type="noConversion"/>
  </si>
  <si>
    <t>跳远</t>
    <phoneticPr fontId="9" type="noConversion"/>
  </si>
  <si>
    <t>跳高</t>
    <phoneticPr fontId="9" type="noConversion"/>
  </si>
  <si>
    <t>魏烨榕</t>
    <phoneticPr fontId="9" type="noConversion"/>
  </si>
  <si>
    <t>铅球</t>
    <phoneticPr fontId="9" type="noConversion"/>
  </si>
  <si>
    <t>实心球</t>
    <phoneticPr fontId="9" type="noConversion"/>
  </si>
  <si>
    <t>温何辉</t>
    <phoneticPr fontId="9" type="noConversion"/>
  </si>
  <si>
    <t>阳鸿彬</t>
    <phoneticPr fontId="9" type="noConversion"/>
  </si>
  <si>
    <t>男队 2517温何辉 2518阳鸿彬</t>
    <phoneticPr fontId="9" type="noConversion"/>
  </si>
  <si>
    <t>女队 2511蓝歆源 2512李  萱 2513王  婷 2514罗鑫儿 2515陈玉淇 2516魏烨榕</t>
    <phoneticPr fontId="9" type="noConversion"/>
  </si>
  <si>
    <t>2519</t>
    <phoneticPr fontId="9" type="noConversion"/>
  </si>
  <si>
    <t>李  欢</t>
    <phoneticPr fontId="9" type="noConversion"/>
  </si>
  <si>
    <t>251a</t>
    <phoneticPr fontId="9" type="noConversion"/>
  </si>
  <si>
    <t>王子浩</t>
    <phoneticPr fontId="9" type="noConversion"/>
  </si>
  <si>
    <t>251b</t>
    <phoneticPr fontId="9" type="noConversion"/>
  </si>
  <si>
    <t>上官祺</t>
    <phoneticPr fontId="9" type="noConversion"/>
  </si>
  <si>
    <t>251c</t>
    <phoneticPr fontId="9" type="noConversion"/>
  </si>
  <si>
    <t>李晓钇</t>
    <phoneticPr fontId="9" type="noConversion"/>
  </si>
  <si>
    <t>251</t>
    <phoneticPr fontId="9" type="noConversion"/>
  </si>
  <si>
    <t>男队 2519李  欢 251a王子浩 251b上官祺 251c李晓钇</t>
    <phoneticPr fontId="9" type="noConversion"/>
  </si>
  <si>
    <t>实验中学2</t>
    <phoneticPr fontId="9" type="noConversion"/>
  </si>
  <si>
    <t>领队：余斌     教练：李远春</t>
    <phoneticPr fontId="9" type="noConversion"/>
  </si>
  <si>
    <t>2521</t>
    <phoneticPr fontId="9" type="noConversion"/>
  </si>
  <si>
    <t>荚艳婷</t>
    <phoneticPr fontId="9" type="noConversion"/>
  </si>
  <si>
    <t>2522</t>
    <phoneticPr fontId="9" type="noConversion"/>
  </si>
  <si>
    <t>黄思涵</t>
    <phoneticPr fontId="9" type="noConversion"/>
  </si>
  <si>
    <t>2523</t>
    <phoneticPr fontId="9" type="noConversion"/>
  </si>
  <si>
    <t>吴雯君</t>
    <phoneticPr fontId="9" type="noConversion"/>
  </si>
  <si>
    <t>2524</t>
    <phoneticPr fontId="9" type="noConversion"/>
  </si>
  <si>
    <t>季锦萍</t>
    <phoneticPr fontId="9" type="noConversion"/>
  </si>
  <si>
    <t>2525</t>
    <phoneticPr fontId="9" type="noConversion"/>
  </si>
  <si>
    <t>叶梦菲</t>
    <phoneticPr fontId="9" type="noConversion"/>
  </si>
  <si>
    <t>2526</t>
    <phoneticPr fontId="9" type="noConversion"/>
  </si>
  <si>
    <t>晏紫妍</t>
    <phoneticPr fontId="9" type="noConversion"/>
  </si>
  <si>
    <t>2527</t>
    <phoneticPr fontId="9" type="noConversion"/>
  </si>
  <si>
    <t>吴昊煜</t>
    <phoneticPr fontId="9" type="noConversion"/>
  </si>
  <si>
    <t>2528</t>
    <phoneticPr fontId="9" type="noConversion"/>
  </si>
  <si>
    <t>李瑞斌</t>
    <phoneticPr fontId="9" type="noConversion"/>
  </si>
  <si>
    <t>男队 2527吴昊煜 2528李瑞斌</t>
    <phoneticPr fontId="9" type="noConversion"/>
  </si>
  <si>
    <t>女队 2521荚艳婷 2522黄思涵 2523吴雯君 2524季锦萍 2525叶梦菲 2526晏紫妍</t>
    <phoneticPr fontId="9" type="noConversion"/>
  </si>
  <si>
    <t>2529</t>
    <phoneticPr fontId="9" type="noConversion"/>
  </si>
  <si>
    <t>余  扬</t>
    <phoneticPr fontId="9" type="noConversion"/>
  </si>
  <si>
    <t>252a</t>
    <phoneticPr fontId="9" type="noConversion"/>
  </si>
  <si>
    <t>罗金生</t>
    <phoneticPr fontId="9" type="noConversion"/>
  </si>
  <si>
    <t>252b</t>
    <phoneticPr fontId="9" type="noConversion"/>
  </si>
  <si>
    <t>吴宝翔</t>
    <phoneticPr fontId="9" type="noConversion"/>
  </si>
  <si>
    <t>252c</t>
    <phoneticPr fontId="9" type="noConversion"/>
  </si>
  <si>
    <t>黄国伟</t>
    <phoneticPr fontId="9" type="noConversion"/>
  </si>
  <si>
    <t>252</t>
    <phoneticPr fontId="9" type="noConversion"/>
  </si>
  <si>
    <t>男队 2529余  扬 252a罗金生 252b吴宝翔 252c黄国伟</t>
    <phoneticPr fontId="9" type="noConversion"/>
  </si>
  <si>
    <t>实验中学3</t>
    <phoneticPr fontId="9" type="noConversion"/>
  </si>
  <si>
    <t>领队：余斌     教练：冯全荣</t>
    <phoneticPr fontId="9" type="noConversion"/>
  </si>
  <si>
    <t>2531</t>
    <phoneticPr fontId="9" type="noConversion"/>
  </si>
  <si>
    <t>涂玉萍</t>
    <phoneticPr fontId="9" type="noConversion"/>
  </si>
  <si>
    <t>2532</t>
    <phoneticPr fontId="9" type="noConversion"/>
  </si>
  <si>
    <t>叶可欣</t>
    <phoneticPr fontId="9" type="noConversion"/>
  </si>
  <si>
    <t>2533</t>
    <phoneticPr fontId="9" type="noConversion"/>
  </si>
  <si>
    <t>魏雨欣</t>
    <phoneticPr fontId="9" type="noConversion"/>
  </si>
  <si>
    <t>2534</t>
    <phoneticPr fontId="9" type="noConversion"/>
  </si>
  <si>
    <t>江锶琪</t>
    <phoneticPr fontId="9" type="noConversion"/>
  </si>
  <si>
    <t>2535</t>
    <phoneticPr fontId="9" type="noConversion"/>
  </si>
  <si>
    <t>吴宇菲</t>
    <phoneticPr fontId="9" type="noConversion"/>
  </si>
  <si>
    <t>2536</t>
    <phoneticPr fontId="9" type="noConversion"/>
  </si>
  <si>
    <t>李梦琪</t>
    <phoneticPr fontId="9" type="noConversion"/>
  </si>
  <si>
    <t>2537</t>
    <phoneticPr fontId="9" type="noConversion"/>
  </si>
  <si>
    <t>翁成耀</t>
    <phoneticPr fontId="9" type="noConversion"/>
  </si>
  <si>
    <t>2538</t>
    <phoneticPr fontId="9" type="noConversion"/>
  </si>
  <si>
    <t>廖仕旺</t>
    <phoneticPr fontId="9" type="noConversion"/>
  </si>
  <si>
    <t>男队 2537翁成耀 2538廖仕旺</t>
    <phoneticPr fontId="9" type="noConversion"/>
  </si>
  <si>
    <t>女队 2531涂玉萍 2532叶可欣 2533魏雨欣 2534江锶琪 2535吴宇菲 2536李梦琪</t>
    <phoneticPr fontId="9" type="noConversion"/>
  </si>
  <si>
    <t>2539</t>
    <phoneticPr fontId="9" type="noConversion"/>
  </si>
  <si>
    <t>孙建文</t>
    <phoneticPr fontId="9" type="noConversion"/>
  </si>
  <si>
    <t>253a</t>
    <phoneticPr fontId="9" type="noConversion"/>
  </si>
  <si>
    <t>陈健平</t>
    <phoneticPr fontId="9" type="noConversion"/>
  </si>
  <si>
    <t>253b</t>
    <phoneticPr fontId="9" type="noConversion"/>
  </si>
  <si>
    <t>邱建辉</t>
    <phoneticPr fontId="9" type="noConversion"/>
  </si>
  <si>
    <t>253c</t>
    <phoneticPr fontId="9" type="noConversion"/>
  </si>
  <si>
    <t>李键彬</t>
    <phoneticPr fontId="9" type="noConversion"/>
  </si>
  <si>
    <t>253</t>
    <phoneticPr fontId="9" type="noConversion"/>
  </si>
  <si>
    <t>男队 2539孙建文 253a陈健平 253b邱建辉 253c李键彬</t>
    <phoneticPr fontId="9" type="noConversion"/>
  </si>
  <si>
    <t>龙津初中1</t>
    <phoneticPr fontId="9" type="noConversion"/>
  </si>
  <si>
    <t>领队：何英萍     教练：赖雄才</t>
    <phoneticPr fontId="9" type="noConversion"/>
  </si>
  <si>
    <t>2211</t>
  </si>
  <si>
    <t>2211</t>
    <phoneticPr fontId="9" type="noConversion"/>
  </si>
  <si>
    <t>黄雨晨</t>
    <phoneticPr fontId="9" type="noConversion"/>
  </si>
  <si>
    <t>2212</t>
  </si>
  <si>
    <t>2212</t>
    <phoneticPr fontId="9" type="noConversion"/>
  </si>
  <si>
    <t>李晨欣</t>
    <phoneticPr fontId="9" type="noConversion"/>
  </si>
  <si>
    <t>2213</t>
  </si>
  <si>
    <t>2213</t>
    <phoneticPr fontId="9" type="noConversion"/>
  </si>
  <si>
    <t>林智玲</t>
    <phoneticPr fontId="9" type="noConversion"/>
  </si>
  <si>
    <t>2214</t>
  </si>
  <si>
    <t>2214</t>
    <phoneticPr fontId="9" type="noConversion"/>
  </si>
  <si>
    <t>江欣怡</t>
    <phoneticPr fontId="9" type="noConversion"/>
  </si>
  <si>
    <t>2215</t>
  </si>
  <si>
    <t>2215</t>
    <phoneticPr fontId="9" type="noConversion"/>
  </si>
  <si>
    <t>张煜玲</t>
    <phoneticPr fontId="9" type="noConversion"/>
  </si>
  <si>
    <t>2216</t>
  </si>
  <si>
    <t>2216</t>
    <phoneticPr fontId="9" type="noConversion"/>
  </si>
  <si>
    <t>余  静</t>
    <phoneticPr fontId="9" type="noConversion"/>
  </si>
  <si>
    <t>2217</t>
  </si>
  <si>
    <t>2217</t>
    <phoneticPr fontId="9" type="noConversion"/>
  </si>
  <si>
    <t>杜孝行</t>
    <phoneticPr fontId="9" type="noConversion"/>
  </si>
  <si>
    <t>2218</t>
  </si>
  <si>
    <t>2218</t>
    <phoneticPr fontId="9" type="noConversion"/>
  </si>
  <si>
    <t>邹立涌</t>
    <phoneticPr fontId="9" type="noConversion"/>
  </si>
  <si>
    <t>男队 2217杜孝行 2218邹立涌</t>
    <phoneticPr fontId="9" type="noConversion"/>
  </si>
  <si>
    <t>女队 2211黄雨晨 2212李晨欣 2213林智玲 2214江欣怡 2215张煜玲 2216余  静</t>
    <phoneticPr fontId="9" type="noConversion"/>
  </si>
  <si>
    <t>2219</t>
  </si>
  <si>
    <t>2219</t>
    <phoneticPr fontId="9" type="noConversion"/>
  </si>
  <si>
    <t>李佳勇</t>
    <phoneticPr fontId="9" type="noConversion"/>
  </si>
  <si>
    <t>221a</t>
    <phoneticPr fontId="9" type="noConversion"/>
  </si>
  <si>
    <t>廖佳烨</t>
    <phoneticPr fontId="9" type="noConversion"/>
  </si>
  <si>
    <t>221b</t>
    <phoneticPr fontId="9" type="noConversion"/>
  </si>
  <si>
    <t>张鑫源</t>
    <phoneticPr fontId="9" type="noConversion"/>
  </si>
  <si>
    <t>221c</t>
    <phoneticPr fontId="9" type="noConversion"/>
  </si>
  <si>
    <t>林伟涛</t>
    <phoneticPr fontId="9" type="noConversion"/>
  </si>
  <si>
    <t>221</t>
  </si>
  <si>
    <t>221</t>
    <phoneticPr fontId="9" type="noConversion"/>
  </si>
  <si>
    <t>男队 2219李佳勇 221a廖佳烨 221b张鑫源 221c林伟涛</t>
    <phoneticPr fontId="9" type="noConversion"/>
  </si>
  <si>
    <t>龙津初中2</t>
    <phoneticPr fontId="9" type="noConversion"/>
  </si>
  <si>
    <t>领队：何英萍     教练：江祖斌</t>
    <phoneticPr fontId="9" type="noConversion"/>
  </si>
  <si>
    <t>2231</t>
  </si>
  <si>
    <t>2231</t>
    <phoneticPr fontId="9" type="noConversion"/>
  </si>
  <si>
    <t>赖思涵</t>
    <phoneticPr fontId="9" type="noConversion"/>
  </si>
  <si>
    <t>2232</t>
  </si>
  <si>
    <t>2232</t>
    <phoneticPr fontId="9" type="noConversion"/>
  </si>
  <si>
    <t>邱文丽</t>
    <phoneticPr fontId="9" type="noConversion"/>
  </si>
  <si>
    <t>2233</t>
  </si>
  <si>
    <t>2233</t>
    <phoneticPr fontId="9" type="noConversion"/>
  </si>
  <si>
    <t>罗林浠</t>
    <phoneticPr fontId="9" type="noConversion"/>
  </si>
  <si>
    <t>2234</t>
  </si>
  <si>
    <t>2234</t>
    <phoneticPr fontId="9" type="noConversion"/>
  </si>
  <si>
    <t>陈梦琳</t>
    <phoneticPr fontId="9" type="noConversion"/>
  </si>
  <si>
    <t>2235</t>
  </si>
  <si>
    <t>2235</t>
    <phoneticPr fontId="9" type="noConversion"/>
  </si>
  <si>
    <t>2236</t>
  </si>
  <si>
    <t>2236</t>
    <phoneticPr fontId="9" type="noConversion"/>
  </si>
  <si>
    <t>罗怡芳</t>
    <phoneticPr fontId="9" type="noConversion"/>
  </si>
  <si>
    <t>2237</t>
  </si>
  <si>
    <t>2237</t>
    <phoneticPr fontId="9" type="noConversion"/>
  </si>
  <si>
    <t>罗晨烨</t>
    <phoneticPr fontId="9" type="noConversion"/>
  </si>
  <si>
    <t>2238</t>
  </si>
  <si>
    <t>2238</t>
    <phoneticPr fontId="9" type="noConversion"/>
  </si>
  <si>
    <t>张宏宇</t>
    <phoneticPr fontId="9" type="noConversion"/>
  </si>
  <si>
    <t>男队 2237罗晨烨 2238张宏宇</t>
    <phoneticPr fontId="9" type="noConversion"/>
  </si>
  <si>
    <t>女队 2231赖思涵 2232邱文丽 2233罗林浠 2234陈梦琳 2235陈思语 2236罗怡芳</t>
    <phoneticPr fontId="9" type="noConversion"/>
  </si>
  <si>
    <t>邹易锦</t>
    <phoneticPr fontId="9" type="noConversion"/>
  </si>
  <si>
    <t>赵荣盐</t>
    <phoneticPr fontId="9" type="noConversion"/>
  </si>
  <si>
    <t>李天彦</t>
    <phoneticPr fontId="9" type="noConversion"/>
  </si>
  <si>
    <t>李明杰</t>
    <phoneticPr fontId="9" type="noConversion"/>
  </si>
  <si>
    <t>221</t>
    <phoneticPr fontId="9" type="noConversion"/>
  </si>
  <si>
    <t>男队 2219邹易锦 221a赵荣盐 221b李天彦 221c李明杰</t>
    <phoneticPr fontId="9" type="noConversion"/>
  </si>
  <si>
    <t>清流一中1</t>
    <phoneticPr fontId="9" type="noConversion"/>
  </si>
  <si>
    <t>领队：王立新     教练：郑荣烽</t>
    <phoneticPr fontId="9" type="noConversion"/>
  </si>
  <si>
    <t>上官欣虹</t>
    <phoneticPr fontId="9" type="noConversion"/>
  </si>
  <si>
    <t>清流一中1</t>
    <phoneticPr fontId="9" type="noConversion"/>
  </si>
  <si>
    <t>荚文芳</t>
    <phoneticPr fontId="9" type="noConversion"/>
  </si>
  <si>
    <t>三级跳</t>
    <phoneticPr fontId="9" type="noConversion"/>
  </si>
  <si>
    <t>魏玉婷</t>
    <phoneticPr fontId="9" type="noConversion"/>
  </si>
  <si>
    <t>江慧玲</t>
    <phoneticPr fontId="9" type="noConversion"/>
  </si>
  <si>
    <t>林静怡</t>
    <phoneticPr fontId="9" type="noConversion"/>
  </si>
  <si>
    <t>温志文</t>
    <phoneticPr fontId="9" type="noConversion"/>
  </si>
  <si>
    <t>赖  伟</t>
    <phoneticPr fontId="9" type="noConversion"/>
  </si>
  <si>
    <t>男队 3117温志文 3118赖  伟</t>
    <phoneticPr fontId="9" type="noConversion"/>
  </si>
  <si>
    <t>女队 3111上官欣虹 3112荚文芳 3113魏玉婷 3114廖佳怡 3115江慧玲 3116林静怡</t>
    <phoneticPr fontId="9" type="noConversion"/>
  </si>
  <si>
    <t>肖  骏</t>
    <phoneticPr fontId="9" type="noConversion"/>
  </si>
  <si>
    <t>张  浩</t>
    <phoneticPr fontId="9" type="noConversion"/>
  </si>
  <si>
    <t>311a</t>
    <phoneticPr fontId="9" type="noConversion"/>
  </si>
  <si>
    <t>黄家宝</t>
    <phoneticPr fontId="9" type="noConversion"/>
  </si>
  <si>
    <t>311b</t>
    <phoneticPr fontId="9" type="noConversion"/>
  </si>
  <si>
    <t>黄春福</t>
    <phoneticPr fontId="9" type="noConversion"/>
  </si>
  <si>
    <t>311c</t>
    <phoneticPr fontId="9" type="noConversion"/>
  </si>
  <si>
    <t>男队 3119肖  骏 311a张  浩 311b黄家宝 311c黄春福</t>
    <phoneticPr fontId="9" type="noConversion"/>
  </si>
  <si>
    <t>清流一中2</t>
    <phoneticPr fontId="9" type="noConversion"/>
  </si>
  <si>
    <t>领队：王立新     教练：陈玉英</t>
    <phoneticPr fontId="9" type="noConversion"/>
  </si>
  <si>
    <t>赖沐君</t>
    <phoneticPr fontId="9" type="noConversion"/>
  </si>
  <si>
    <t>清流一中2</t>
    <phoneticPr fontId="9" type="noConversion"/>
  </si>
  <si>
    <t>罗诗莹</t>
    <phoneticPr fontId="9" type="noConversion"/>
  </si>
  <si>
    <t>邓秀红</t>
    <phoneticPr fontId="9" type="noConversion"/>
  </si>
  <si>
    <t>陈  洁</t>
    <phoneticPr fontId="9" type="noConversion"/>
  </si>
  <si>
    <t>朱雨婷</t>
    <phoneticPr fontId="9" type="noConversion"/>
  </si>
  <si>
    <t>肖诗玮</t>
    <phoneticPr fontId="9" type="noConversion"/>
  </si>
  <si>
    <t>江伟强</t>
    <phoneticPr fontId="9" type="noConversion"/>
  </si>
  <si>
    <t>江文炎</t>
    <phoneticPr fontId="9" type="noConversion"/>
  </si>
  <si>
    <t>男队 3127江伟强 3128江文炎</t>
    <phoneticPr fontId="9" type="noConversion"/>
  </si>
  <si>
    <t>女队 3121赖沐君 3122罗诗莹 3123邓秀红 3124陈  洁 3125朱雨婷 3126肖诗玮</t>
    <phoneticPr fontId="9" type="noConversion"/>
  </si>
  <si>
    <t>3129</t>
    <phoneticPr fontId="9" type="noConversion"/>
  </si>
  <si>
    <t>罗永鑫</t>
    <phoneticPr fontId="9" type="noConversion"/>
  </si>
  <si>
    <t>邱宇文</t>
    <phoneticPr fontId="9" type="noConversion"/>
  </si>
  <si>
    <t>312a</t>
    <phoneticPr fontId="9" type="noConversion"/>
  </si>
  <si>
    <t>312b</t>
    <phoneticPr fontId="9" type="noConversion"/>
  </si>
  <si>
    <t>林  翔</t>
    <phoneticPr fontId="9" type="noConversion"/>
  </si>
  <si>
    <t>黄海均</t>
    <phoneticPr fontId="9" type="noConversion"/>
  </si>
  <si>
    <t>312c</t>
    <phoneticPr fontId="9" type="noConversion"/>
  </si>
  <si>
    <t>312</t>
    <phoneticPr fontId="9" type="noConversion"/>
  </si>
  <si>
    <t>男队 3129罗永鑫 312a邱宇文 312b林  翔 312c黄海均</t>
    <phoneticPr fontId="9" type="noConversion"/>
  </si>
  <si>
    <t>清流一中3</t>
    <phoneticPr fontId="9" type="noConversion"/>
  </si>
  <si>
    <t>领队：王立新     教练：林彩云</t>
    <phoneticPr fontId="9" type="noConversion"/>
  </si>
  <si>
    <t>3131</t>
    <phoneticPr fontId="9" type="noConversion"/>
  </si>
  <si>
    <t>沈雨欣</t>
    <phoneticPr fontId="9" type="noConversion"/>
  </si>
  <si>
    <t>3132</t>
    <phoneticPr fontId="9" type="noConversion"/>
  </si>
  <si>
    <t>谢  颖</t>
    <phoneticPr fontId="9" type="noConversion"/>
  </si>
  <si>
    <t>3133</t>
    <phoneticPr fontId="9" type="noConversion"/>
  </si>
  <si>
    <t>魏梓芸</t>
    <phoneticPr fontId="9" type="noConversion"/>
  </si>
  <si>
    <t>3134</t>
    <phoneticPr fontId="9" type="noConversion"/>
  </si>
  <si>
    <t>江雅琪</t>
    <phoneticPr fontId="9" type="noConversion"/>
  </si>
  <si>
    <t>3135</t>
    <phoneticPr fontId="9" type="noConversion"/>
  </si>
  <si>
    <t>陈慧琪</t>
    <phoneticPr fontId="9" type="noConversion"/>
  </si>
  <si>
    <t>3136</t>
    <phoneticPr fontId="9" type="noConversion"/>
  </si>
  <si>
    <t>黄爱凤</t>
    <phoneticPr fontId="9" type="noConversion"/>
  </si>
  <si>
    <t>3137</t>
    <phoneticPr fontId="9" type="noConversion"/>
  </si>
  <si>
    <t>巫景荣</t>
    <phoneticPr fontId="9" type="noConversion"/>
  </si>
  <si>
    <t>3138</t>
    <phoneticPr fontId="9" type="noConversion"/>
  </si>
  <si>
    <t>罗建松</t>
    <phoneticPr fontId="9" type="noConversion"/>
  </si>
  <si>
    <t>男队 3137巫景荣 3138罗建松</t>
    <phoneticPr fontId="9" type="noConversion"/>
  </si>
  <si>
    <t>女队 3131沈雨欣 3132谢  颖 3133魏梓芸 3134江雅琪 3135陈慧琪 3136黄爱凤</t>
    <phoneticPr fontId="9" type="noConversion"/>
  </si>
  <si>
    <t>3139</t>
    <phoneticPr fontId="9" type="noConversion"/>
  </si>
  <si>
    <t>黄世鸿</t>
    <phoneticPr fontId="9" type="noConversion"/>
  </si>
  <si>
    <t>313a</t>
    <phoneticPr fontId="9" type="noConversion"/>
  </si>
  <si>
    <t>吴佳兴</t>
    <phoneticPr fontId="9" type="noConversion"/>
  </si>
  <si>
    <t>313b</t>
    <phoneticPr fontId="9" type="noConversion"/>
  </si>
  <si>
    <t>阙致轩</t>
    <phoneticPr fontId="9" type="noConversion"/>
  </si>
  <si>
    <t>313c</t>
    <phoneticPr fontId="9" type="noConversion"/>
  </si>
  <si>
    <t>吴智炜</t>
    <phoneticPr fontId="9" type="noConversion"/>
  </si>
  <si>
    <t>313</t>
    <phoneticPr fontId="9" type="noConversion"/>
  </si>
  <si>
    <t>男队 3139黄世鸿 313a吴佳兴 313b阙致轩 313c吴智炜</t>
    <phoneticPr fontId="9" type="noConversion"/>
  </si>
  <si>
    <t>清流职中1</t>
  </si>
  <si>
    <t>领队：谢晓丽     教练：邱新强</t>
  </si>
  <si>
    <t>3211</t>
  </si>
  <si>
    <t>3211</t>
    <phoneticPr fontId="9" type="noConversion"/>
  </si>
  <si>
    <t>上官贞</t>
  </si>
  <si>
    <t>上官贞</t>
    <phoneticPr fontId="9" type="noConversion"/>
  </si>
  <si>
    <t>3212</t>
  </si>
  <si>
    <t>3212</t>
    <phoneticPr fontId="9" type="noConversion"/>
  </si>
  <si>
    <t>赖小花</t>
  </si>
  <si>
    <t>赖小花</t>
    <phoneticPr fontId="9" type="noConversion"/>
  </si>
  <si>
    <t>3213</t>
  </si>
  <si>
    <t>3213</t>
    <phoneticPr fontId="9" type="noConversion"/>
  </si>
  <si>
    <t>徐淇娜</t>
  </si>
  <si>
    <t>徐淇娜</t>
    <phoneticPr fontId="9" type="noConversion"/>
  </si>
  <si>
    <t>3214</t>
  </si>
  <si>
    <t>3214</t>
    <phoneticPr fontId="9" type="noConversion"/>
  </si>
  <si>
    <t>易丽娟</t>
  </si>
  <si>
    <t>易丽娟</t>
    <phoneticPr fontId="9" type="noConversion"/>
  </si>
  <si>
    <t>3215</t>
  </si>
  <si>
    <t>3215</t>
    <phoneticPr fontId="9" type="noConversion"/>
  </si>
  <si>
    <t>邓  洁</t>
  </si>
  <si>
    <t>邓  洁</t>
    <phoneticPr fontId="9" type="noConversion"/>
  </si>
  <si>
    <t>3216</t>
  </si>
  <si>
    <t>3216</t>
    <phoneticPr fontId="9" type="noConversion"/>
  </si>
  <si>
    <t>赖莉婷</t>
  </si>
  <si>
    <t>赖莉婷</t>
    <phoneticPr fontId="9" type="noConversion"/>
  </si>
  <si>
    <t>3217</t>
  </si>
  <si>
    <t>3217</t>
    <phoneticPr fontId="9" type="noConversion"/>
  </si>
  <si>
    <t>曹胜豪</t>
  </si>
  <si>
    <t>曹胜豪</t>
    <phoneticPr fontId="9" type="noConversion"/>
  </si>
  <si>
    <t>3218</t>
  </si>
  <si>
    <t>3218</t>
    <phoneticPr fontId="9" type="noConversion"/>
  </si>
  <si>
    <t>卢伟强</t>
  </si>
  <si>
    <t>卢伟强</t>
    <phoneticPr fontId="9" type="noConversion"/>
  </si>
  <si>
    <t>男队 3217曹胜豪 3218卢伟强</t>
  </si>
  <si>
    <t>女队 3211上官贞 3212赖小花 3213徐淇娜 3214易丽娟 3215邓  洁 3216赖莉婷</t>
  </si>
  <si>
    <t>3219</t>
  </si>
  <si>
    <t>3219</t>
    <phoneticPr fontId="9" type="noConversion"/>
  </si>
  <si>
    <t>陈浩斌</t>
  </si>
  <si>
    <t>陈浩斌</t>
    <phoneticPr fontId="9" type="noConversion"/>
  </si>
  <si>
    <t>321a</t>
  </si>
  <si>
    <t>321a</t>
    <phoneticPr fontId="9" type="noConversion"/>
  </si>
  <si>
    <t>肖  智</t>
    <phoneticPr fontId="9" type="noConversion"/>
  </si>
  <si>
    <t>321b</t>
    <phoneticPr fontId="9" type="noConversion"/>
  </si>
  <si>
    <t>赖敬铭</t>
  </si>
  <si>
    <t>赖敬铭</t>
    <phoneticPr fontId="9" type="noConversion"/>
  </si>
  <si>
    <t>321c</t>
    <phoneticPr fontId="9" type="noConversion"/>
  </si>
  <si>
    <t>汤锣风</t>
  </si>
  <si>
    <t>汤锣风</t>
    <phoneticPr fontId="9" type="noConversion"/>
  </si>
  <si>
    <t>321</t>
  </si>
  <si>
    <t>321</t>
    <phoneticPr fontId="9" type="noConversion"/>
  </si>
  <si>
    <t>男队 3219陈浩斌 321a肖  智 321b赖敬铭 321c汤锣风</t>
  </si>
  <si>
    <t>清流职中2</t>
  </si>
  <si>
    <t>领队：谢晓丽     教练：黄智宏</t>
  </si>
  <si>
    <t>3221</t>
  </si>
  <si>
    <t>3221</t>
    <phoneticPr fontId="9" type="noConversion"/>
  </si>
  <si>
    <t>赖丽华</t>
  </si>
  <si>
    <t>赖丽华</t>
    <phoneticPr fontId="9" type="noConversion"/>
  </si>
  <si>
    <t>3222</t>
  </si>
  <si>
    <t>3222</t>
    <phoneticPr fontId="9" type="noConversion"/>
  </si>
  <si>
    <t>邱根金</t>
  </si>
  <si>
    <t>邱根金</t>
    <phoneticPr fontId="9" type="noConversion"/>
  </si>
  <si>
    <t>3223</t>
  </si>
  <si>
    <t>3223</t>
    <phoneticPr fontId="9" type="noConversion"/>
  </si>
  <si>
    <t>夏宇虹</t>
  </si>
  <si>
    <t>夏宇虹</t>
    <phoneticPr fontId="9" type="noConversion"/>
  </si>
  <si>
    <t>3224</t>
  </si>
  <si>
    <t>3224</t>
    <phoneticPr fontId="9" type="noConversion"/>
  </si>
  <si>
    <t>王思雨</t>
  </si>
  <si>
    <t>王思雨</t>
    <phoneticPr fontId="9" type="noConversion"/>
  </si>
  <si>
    <t>3225</t>
  </si>
  <si>
    <t>3225</t>
    <phoneticPr fontId="9" type="noConversion"/>
  </si>
  <si>
    <t>赵雪花</t>
  </si>
  <si>
    <t>赵雪花</t>
    <phoneticPr fontId="9" type="noConversion"/>
  </si>
  <si>
    <t>3226</t>
  </si>
  <si>
    <t>3226</t>
    <phoneticPr fontId="9" type="noConversion"/>
  </si>
  <si>
    <t>易欣悦</t>
  </si>
  <si>
    <t>易欣悦</t>
    <phoneticPr fontId="9" type="noConversion"/>
  </si>
  <si>
    <t>3227</t>
  </si>
  <si>
    <t>3227</t>
    <phoneticPr fontId="9" type="noConversion"/>
  </si>
  <si>
    <t>黄  浩</t>
  </si>
  <si>
    <t>黄  浩</t>
    <phoneticPr fontId="9" type="noConversion"/>
  </si>
  <si>
    <t>3228</t>
  </si>
  <si>
    <t>3228</t>
    <phoneticPr fontId="9" type="noConversion"/>
  </si>
  <si>
    <t>李佳翼</t>
  </si>
  <si>
    <t>李佳翼</t>
    <phoneticPr fontId="9" type="noConversion"/>
  </si>
  <si>
    <t>男队 3227黄  浩 3228李佳翼</t>
  </si>
  <si>
    <t>女队 3221赖丽华 3222邱根金 3223夏宇虹 3224王思雨 3225赵雪花 3226易欣悦</t>
  </si>
  <si>
    <t>3229</t>
  </si>
  <si>
    <t>3229</t>
    <phoneticPr fontId="9" type="noConversion"/>
  </si>
  <si>
    <t>邱凌伟</t>
  </si>
  <si>
    <t>邱凌伟</t>
    <phoneticPr fontId="9" type="noConversion"/>
  </si>
  <si>
    <t>322a</t>
    <phoneticPr fontId="9" type="noConversion"/>
  </si>
  <si>
    <t>刘力玮</t>
  </si>
  <si>
    <t>刘力玮</t>
    <phoneticPr fontId="9" type="noConversion"/>
  </si>
  <si>
    <t>322b</t>
    <phoneticPr fontId="9" type="noConversion"/>
  </si>
  <si>
    <t>陈昌鸿</t>
  </si>
  <si>
    <t>陈昌鸿</t>
    <phoneticPr fontId="9" type="noConversion"/>
  </si>
  <si>
    <t>322c</t>
    <phoneticPr fontId="9" type="noConversion"/>
  </si>
  <si>
    <t>谢宝锜</t>
  </si>
  <si>
    <t>谢宝锜</t>
    <phoneticPr fontId="9" type="noConversion"/>
  </si>
  <si>
    <t>322</t>
  </si>
  <si>
    <t>322</t>
    <phoneticPr fontId="9" type="noConversion"/>
  </si>
  <si>
    <t>男队 3229邱凌伟 322a刘力玮 322b陈昌鸿 322c谢宝锜</t>
  </si>
</sst>
</file>

<file path=xl/styles.xml><?xml version="1.0" encoding="utf-8"?>
<styleSheet xmlns="http://schemas.openxmlformats.org/spreadsheetml/2006/main">
  <numFmts count="7">
    <numFmt numFmtId="176" formatCode="0.00_ "/>
    <numFmt numFmtId="177" formatCode="0_ "/>
    <numFmt numFmtId="178" formatCode="000000"/>
    <numFmt numFmtId="179" formatCode="0_);[Red]\(0\)"/>
    <numFmt numFmtId="180" formatCode="0_);\(0\)"/>
    <numFmt numFmtId="181" formatCode="[$-3000401]0"/>
    <numFmt numFmtId="182" formatCode="[$-409]d\-mmm\-yy;@"/>
  </numFmts>
  <fonts count="59">
    <font>
      <sz val="12"/>
      <name val="宋体"/>
      <charset val="134"/>
    </font>
    <font>
      <sz val="14"/>
      <name val="宋体"/>
      <family val="3"/>
      <charset val="134"/>
    </font>
    <font>
      <sz val="22"/>
      <name val="黑体"/>
      <family val="3"/>
      <charset val="134"/>
    </font>
    <font>
      <sz val="24"/>
      <name val="黑体"/>
      <family val="3"/>
      <charset val="134"/>
    </font>
    <font>
      <sz val="14"/>
      <name val="仿宋_GB2312"/>
      <family val="3"/>
      <charset val="134"/>
    </font>
    <font>
      <sz val="11"/>
      <name val="宋体"/>
      <family val="3"/>
      <charset val="134"/>
    </font>
    <font>
      <sz val="11"/>
      <name val="仿宋_GB2312"/>
      <family val="3"/>
      <charset val="134"/>
    </font>
    <font>
      <sz val="10"/>
      <name val="宋体"/>
      <family val="3"/>
      <charset val="134"/>
    </font>
    <font>
      <sz val="10"/>
      <name val="仿宋_GB2312"/>
      <family val="3"/>
      <charset val="134"/>
    </font>
    <font>
      <sz val="9"/>
      <name val="宋体"/>
      <family val="3"/>
      <charset val="134"/>
    </font>
    <font>
      <sz val="9"/>
      <name val="仿宋_GB2312"/>
      <family val="3"/>
      <charset val="134"/>
    </font>
    <font>
      <sz val="16"/>
      <name val="宋体"/>
      <family val="3"/>
      <charset val="134"/>
    </font>
    <font>
      <sz val="9"/>
      <color indexed="8"/>
      <name val="宋体"/>
      <family val="3"/>
      <charset val="134"/>
    </font>
    <font>
      <u/>
      <sz val="14"/>
      <color indexed="8"/>
      <name val="宋体"/>
      <family val="3"/>
      <charset val="134"/>
    </font>
    <font>
      <sz val="14"/>
      <color indexed="8"/>
      <name val="宋体"/>
      <family val="3"/>
      <charset val="134"/>
    </font>
    <font>
      <u/>
      <sz val="12"/>
      <color indexed="8"/>
      <name val="宋体"/>
      <family val="3"/>
      <charset val="134"/>
    </font>
    <font>
      <sz val="12"/>
      <color indexed="8"/>
      <name val="宋体"/>
      <family val="3"/>
      <charset val="134"/>
    </font>
    <font>
      <sz val="9"/>
      <color indexed="8"/>
      <name val="仿宋_GB2312"/>
      <family val="3"/>
      <charset val="134"/>
    </font>
    <font>
      <u/>
      <sz val="9"/>
      <color indexed="8"/>
      <name val="宋体"/>
      <family val="3"/>
      <charset val="134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0"/>
      <color indexed="8"/>
      <name val="华文中宋"/>
      <family val="3"/>
      <charset val="134"/>
    </font>
    <font>
      <sz val="9"/>
      <color indexed="8"/>
      <name val="楷体_GB2312"/>
      <family val="3"/>
      <charset val="134"/>
    </font>
    <font>
      <sz val="10.5"/>
      <color indexed="8"/>
      <name val="宋体"/>
      <family val="3"/>
      <charset val="134"/>
    </font>
    <font>
      <sz val="10"/>
      <color indexed="8"/>
      <name val="宋体"/>
      <family val="3"/>
      <charset val="134"/>
    </font>
    <font>
      <sz val="24"/>
      <color indexed="8"/>
      <name val="宋体"/>
      <family val="3"/>
      <charset val="134"/>
    </font>
    <font>
      <sz val="10.5"/>
      <name val="宋体"/>
      <family val="3"/>
      <charset val="134"/>
    </font>
    <font>
      <sz val="12"/>
      <color indexed="8"/>
      <name val="仿宋_GB2312"/>
      <family val="3"/>
      <charset val="134"/>
    </font>
    <font>
      <b/>
      <sz val="9"/>
      <color indexed="8"/>
      <name val="仿宋_GB2312"/>
      <family val="3"/>
      <charset val="134"/>
    </font>
    <font>
      <sz val="9"/>
      <color indexed="8"/>
      <name val="Arial"/>
      <family val="2"/>
    </font>
    <font>
      <u/>
      <sz val="9"/>
      <name val="宋体"/>
      <family val="3"/>
      <charset val="134"/>
    </font>
    <font>
      <u/>
      <sz val="12"/>
      <name val="宋体"/>
      <family val="3"/>
      <charset val="134"/>
    </font>
    <font>
      <b/>
      <sz val="9"/>
      <color indexed="8"/>
      <name val="宋体"/>
      <family val="3"/>
      <charset val="134"/>
    </font>
    <font>
      <sz val="12"/>
      <name val="宋体"/>
      <family val="3"/>
      <charset val="134"/>
    </font>
    <font>
      <sz val="14"/>
      <name val="仿宋"/>
      <family val="3"/>
      <charset val="134"/>
    </font>
    <font>
      <sz val="12"/>
      <color indexed="10"/>
      <name val="宋体"/>
      <family val="3"/>
      <charset val="134"/>
    </font>
    <font>
      <sz val="12"/>
      <name val="楷体_GB2312"/>
      <family val="3"/>
      <charset val="134"/>
    </font>
    <font>
      <sz val="12"/>
      <name val="Arial"/>
      <family val="2"/>
    </font>
    <font>
      <sz val="10"/>
      <name val="Arial"/>
      <family val="2"/>
    </font>
    <font>
      <b/>
      <sz val="18"/>
      <name val="宋体"/>
      <family val="3"/>
      <charset val="134"/>
    </font>
    <font>
      <u/>
      <sz val="11"/>
      <color indexed="8"/>
      <name val="宋体"/>
      <family val="3"/>
      <charset val="134"/>
    </font>
    <font>
      <sz val="14"/>
      <color indexed="8"/>
      <name val="宋体"/>
      <family val="3"/>
      <charset val="134"/>
    </font>
    <font>
      <sz val="8"/>
      <name val="宋体"/>
      <family val="3"/>
      <charset val="134"/>
    </font>
    <font>
      <sz val="12"/>
      <color indexed="53"/>
      <name val="宋体"/>
      <family val="3"/>
      <charset val="134"/>
    </font>
    <font>
      <sz val="12"/>
      <color indexed="11"/>
      <name val="宋体"/>
      <family val="3"/>
      <charset val="134"/>
    </font>
    <font>
      <sz val="12"/>
      <color indexed="5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宋体"/>
      <family val="3"/>
      <charset val="134"/>
      <scheme val="major"/>
    </font>
    <font>
      <sz val="11"/>
      <name val="宋体"/>
      <family val="3"/>
      <charset val="134"/>
      <scheme val="minor"/>
    </font>
    <font>
      <sz val="14"/>
      <name val="宋体"/>
      <family val="3"/>
      <charset val="134"/>
    </font>
    <font>
      <sz val="16"/>
      <name val="Arial"/>
      <family val="2"/>
    </font>
    <font>
      <sz val="9"/>
      <name val="Arial"/>
      <family val="2"/>
    </font>
    <font>
      <sz val="11"/>
      <name val="Calibri"/>
      <family val="2"/>
    </font>
    <font>
      <sz val="9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color theme="1"/>
      <name val="宋体"/>
      <family val="3"/>
      <charset val="134"/>
    </font>
    <font>
      <sz val="12"/>
      <color theme="1"/>
      <name val="宋体"/>
      <family val="3"/>
      <charset val="134"/>
    </font>
    <font>
      <sz val="12"/>
      <color rgb="FFFF0000"/>
      <name val="宋体"/>
      <family val="3"/>
      <charset val="134"/>
    </font>
    <font>
      <sz val="9"/>
      <color rgb="FFFF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indexed="8"/>
      </left>
      <right style="thin">
        <color indexed="8"/>
      </right>
      <top style="double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double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 style="thin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double">
        <color indexed="8"/>
      </right>
      <top/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/>
      <right style="thin">
        <color indexed="8"/>
      </right>
      <top style="thin">
        <color indexed="8"/>
      </top>
      <bottom style="double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1">
    <xf numFmtId="0" fontId="0" fillId="0" borderId="0">
      <alignment vertical="center"/>
    </xf>
    <xf numFmtId="176" fontId="33" fillId="0" borderId="0"/>
    <xf numFmtId="0" fontId="46" fillId="0" borderId="0">
      <alignment vertical="center"/>
    </xf>
    <xf numFmtId="0" fontId="38" fillId="0" borderId="0"/>
    <xf numFmtId="0" fontId="20" fillId="0" borderId="0">
      <alignment vertical="center"/>
    </xf>
    <xf numFmtId="176" fontId="20" fillId="2" borderId="0"/>
    <xf numFmtId="0" fontId="46" fillId="0" borderId="0">
      <alignment vertical="center"/>
    </xf>
    <xf numFmtId="0" fontId="20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</cellStyleXfs>
  <cellXfs count="32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20" fontId="0" fillId="0" borderId="0" xfId="0" applyNumberFormat="1">
      <alignment vertical="center"/>
    </xf>
    <xf numFmtId="22" fontId="0" fillId="0" borderId="0" xfId="0" applyNumberForma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justify" vertical="center"/>
    </xf>
    <xf numFmtId="0" fontId="0" fillId="0" borderId="0" xfId="0" applyAlignment="1">
      <alignment horizontal="left" vertical="center"/>
    </xf>
    <xf numFmtId="0" fontId="0" fillId="0" borderId="0" xfId="0" applyBorder="1">
      <alignment vertical="center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ill="1" applyBorder="1">
      <alignment vertical="center"/>
    </xf>
    <xf numFmtId="0" fontId="7" fillId="0" borderId="0" xfId="0" applyFont="1">
      <alignment vertical="center"/>
    </xf>
    <xf numFmtId="0" fontId="7" fillId="0" borderId="1" xfId="0" applyFont="1" applyBorder="1">
      <alignment vertical="center"/>
    </xf>
    <xf numFmtId="49" fontId="7" fillId="0" borderId="1" xfId="0" applyNumberFormat="1" applyFont="1" applyBorder="1">
      <alignment vertical="center"/>
    </xf>
    <xf numFmtId="0" fontId="5" fillId="0" borderId="0" xfId="0" applyFont="1">
      <alignment vertical="center"/>
    </xf>
    <xf numFmtId="0" fontId="6" fillId="0" borderId="2" xfId="0" applyFont="1" applyBorder="1" applyAlignment="1">
      <alignment horizontal="left" vertical="center" wrapText="1"/>
    </xf>
    <xf numFmtId="0" fontId="9" fillId="0" borderId="0" xfId="0" applyFont="1">
      <alignment vertical="center"/>
    </xf>
    <xf numFmtId="0" fontId="9" fillId="0" borderId="0" xfId="0" applyFont="1" applyAlignment="1">
      <alignment horizontal="left" vertical="center"/>
    </xf>
    <xf numFmtId="0" fontId="9" fillId="0" borderId="1" xfId="0" applyFont="1" applyBorder="1">
      <alignment vertical="center"/>
    </xf>
    <xf numFmtId="0" fontId="9" fillId="0" borderId="1" xfId="0" applyFont="1" applyBorder="1" applyAlignment="1">
      <alignment horizontal="left" vertical="center"/>
    </xf>
    <xf numFmtId="0" fontId="10" fillId="0" borderId="1" xfId="0" applyFont="1" applyBorder="1">
      <alignment vertical="center"/>
    </xf>
    <xf numFmtId="0" fontId="9" fillId="0" borderId="3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1" fillId="0" borderId="0" xfId="0" applyFont="1" applyBorder="1" applyAlignment="1">
      <alignment horizontal="left" vertical="center"/>
    </xf>
    <xf numFmtId="0" fontId="9" fillId="0" borderId="0" xfId="0" applyFont="1" applyAlignment="1">
      <alignment horizontal="left"/>
    </xf>
    <xf numFmtId="0" fontId="12" fillId="0" borderId="0" xfId="0" applyFont="1" applyAlignment="1">
      <alignment horizontal="right" vertical="center" wrapText="1"/>
    </xf>
    <xf numFmtId="0" fontId="13" fillId="0" borderId="0" xfId="0" applyFont="1" applyAlignment="1">
      <alignment vertical="center" wrapText="1"/>
    </xf>
    <xf numFmtId="0" fontId="14" fillId="0" borderId="0" xfId="0" applyFont="1" applyAlignment="1">
      <alignment vertical="center" wrapText="1"/>
    </xf>
    <xf numFmtId="0" fontId="15" fillId="0" borderId="0" xfId="0" applyFont="1" applyAlignment="1">
      <alignment vertical="center" wrapText="1"/>
    </xf>
    <xf numFmtId="0" fontId="16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4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12" fillId="0" borderId="6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2" fillId="0" borderId="9" xfId="0" applyFont="1" applyBorder="1" applyAlignment="1">
      <alignment vertical="center" wrapText="1"/>
    </xf>
    <xf numFmtId="0" fontId="14" fillId="0" borderId="10" xfId="0" applyFont="1" applyBorder="1" applyAlignment="1">
      <alignment horizontal="center" vertical="center" wrapText="1"/>
    </xf>
    <xf numFmtId="0" fontId="14" fillId="0" borderId="11" xfId="0" applyFont="1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12" fillId="0" borderId="13" xfId="0" applyFont="1" applyBorder="1" applyAlignment="1">
      <alignment vertical="center" wrapText="1"/>
    </xf>
    <xf numFmtId="0" fontId="14" fillId="0" borderId="14" xfId="0" applyFont="1" applyBorder="1" applyAlignment="1">
      <alignment horizontal="center" vertical="center" wrapText="1"/>
    </xf>
    <xf numFmtId="0" fontId="12" fillId="0" borderId="15" xfId="0" applyFont="1" applyBorder="1" applyAlignment="1">
      <alignment vertical="center" wrapText="1"/>
    </xf>
    <xf numFmtId="0" fontId="14" fillId="0" borderId="16" xfId="0" applyFont="1" applyBorder="1" applyAlignment="1">
      <alignment horizontal="center" vertical="center" wrapText="1"/>
    </xf>
    <xf numFmtId="0" fontId="14" fillId="0" borderId="17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5" xfId="0" applyFont="1" applyBorder="1" applyAlignment="1">
      <alignment horizontal="center" vertical="center" wrapText="1"/>
    </xf>
    <xf numFmtId="0" fontId="14" fillId="0" borderId="18" xfId="0" applyFont="1" applyBorder="1" applyAlignment="1">
      <alignment horizontal="center" vertical="center" wrapText="1"/>
    </xf>
    <xf numFmtId="0" fontId="14" fillId="0" borderId="9" xfId="0" applyFont="1" applyBorder="1" applyAlignment="1">
      <alignment vertical="center" wrapText="1"/>
    </xf>
    <xf numFmtId="0" fontId="18" fillId="0" borderId="0" xfId="0" applyFont="1" applyAlignment="1">
      <alignment vertical="center" wrapText="1"/>
    </xf>
    <xf numFmtId="0" fontId="19" fillId="0" borderId="0" xfId="0" applyFont="1" applyAlignment="1">
      <alignment wrapText="1"/>
    </xf>
    <xf numFmtId="49" fontId="20" fillId="0" borderId="10" xfId="0" applyNumberFormat="1" applyFont="1" applyBorder="1" applyAlignment="1">
      <alignment wrapText="1"/>
    </xf>
    <xf numFmtId="0" fontId="12" fillId="0" borderId="10" xfId="0" applyFont="1" applyBorder="1" applyAlignment="1">
      <alignment vertical="center" wrapText="1"/>
    </xf>
    <xf numFmtId="0" fontId="12" fillId="0" borderId="19" xfId="0" applyFont="1" applyBorder="1" applyAlignment="1">
      <alignment horizontal="center" vertical="center" wrapText="1"/>
    </xf>
    <xf numFmtId="0" fontId="12" fillId="0" borderId="11" xfId="0" applyFont="1" applyBorder="1" applyAlignment="1">
      <alignment vertical="center" wrapText="1"/>
    </xf>
    <xf numFmtId="0" fontId="14" fillId="0" borderId="10" xfId="0" applyFont="1" applyBorder="1" applyAlignment="1">
      <alignment vertical="center" wrapText="1"/>
    </xf>
    <xf numFmtId="0" fontId="14" fillId="0" borderId="10" xfId="0" applyFont="1" applyBorder="1" applyAlignment="1">
      <alignment wrapText="1"/>
    </xf>
    <xf numFmtId="0" fontId="14" fillId="0" borderId="12" xfId="0" applyFont="1" applyBorder="1" applyAlignment="1">
      <alignment vertical="center" wrapText="1"/>
    </xf>
    <xf numFmtId="0" fontId="12" fillId="0" borderId="20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4" fillId="0" borderId="5" xfId="0" applyFont="1" applyBorder="1" applyAlignment="1">
      <alignment vertical="center" wrapText="1"/>
    </xf>
    <xf numFmtId="0" fontId="12" fillId="0" borderId="14" xfId="0" applyFont="1" applyBorder="1" applyAlignment="1">
      <alignment vertical="center" wrapText="1"/>
    </xf>
    <xf numFmtId="0" fontId="14" fillId="0" borderId="14" xfId="0" applyFont="1" applyBorder="1" applyAlignment="1">
      <alignment vertical="center" wrapText="1"/>
    </xf>
    <xf numFmtId="0" fontId="14" fillId="0" borderId="18" xfId="0" applyFont="1" applyBorder="1" applyAlignment="1">
      <alignment vertical="center" wrapText="1"/>
    </xf>
    <xf numFmtId="49" fontId="19" fillId="0" borderId="10" xfId="0" applyNumberFormat="1" applyFont="1" applyBorder="1" applyAlignment="1">
      <alignment horizontal="left" wrapText="1"/>
    </xf>
    <xf numFmtId="0" fontId="21" fillId="0" borderId="10" xfId="0" applyFont="1" applyBorder="1" applyAlignment="1">
      <alignment wrapText="1"/>
    </xf>
    <xf numFmtId="0" fontId="16" fillId="0" borderId="10" xfId="0" applyFont="1" applyBorder="1" applyAlignment="1">
      <alignment vertical="center" wrapText="1"/>
    </xf>
    <xf numFmtId="0" fontId="22" fillId="0" borderId="10" xfId="0" applyFont="1" applyBorder="1" applyAlignment="1">
      <alignment horizontal="center" vertical="center" wrapText="1"/>
    </xf>
    <xf numFmtId="49" fontId="23" fillId="0" borderId="10" xfId="0" applyNumberFormat="1" applyFont="1" applyBorder="1" applyAlignment="1">
      <alignment horizontal="center" vertical="center" wrapText="1"/>
    </xf>
    <xf numFmtId="0" fontId="12" fillId="0" borderId="10" xfId="0" applyFont="1" applyBorder="1" applyAlignment="1">
      <alignment horizontal="center" vertical="center" wrapText="1"/>
    </xf>
    <xf numFmtId="49" fontId="24" fillId="0" borderId="10" xfId="0" applyNumberFormat="1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49" fontId="19" fillId="0" borderId="10" xfId="0" applyNumberFormat="1" applyFont="1" applyBorder="1" applyAlignment="1" applyProtection="1">
      <alignment horizontal="center" vertical="center" wrapText="1"/>
      <protection locked="0"/>
    </xf>
    <xf numFmtId="49" fontId="19" fillId="0" borderId="10" xfId="0" applyNumberFormat="1" applyFont="1" applyBorder="1" applyAlignment="1">
      <alignment horizontal="center" vertical="center" wrapText="1"/>
    </xf>
    <xf numFmtId="0" fontId="22" fillId="0" borderId="4" xfId="0" applyFont="1" applyBorder="1" applyAlignment="1">
      <alignment horizontal="center" vertical="center" wrapText="1"/>
    </xf>
    <xf numFmtId="0" fontId="22" fillId="0" borderId="5" xfId="0" applyFont="1" applyBorder="1" applyAlignment="1">
      <alignment horizontal="center" vertical="center" wrapText="1"/>
    </xf>
    <xf numFmtId="0" fontId="22" fillId="0" borderId="6" xfId="0" applyFont="1" applyBorder="1" applyAlignment="1">
      <alignment horizontal="center" vertical="center" wrapText="1"/>
    </xf>
    <xf numFmtId="0" fontId="22" fillId="0" borderId="7" xfId="0" applyFont="1" applyBorder="1" applyAlignment="1">
      <alignment horizontal="center" vertical="center" wrapText="1"/>
    </xf>
    <xf numFmtId="0" fontId="22" fillId="0" borderId="8" xfId="0" applyFont="1" applyBorder="1" applyAlignment="1">
      <alignment horizontal="center" vertical="center" wrapText="1"/>
    </xf>
    <xf numFmtId="0" fontId="12" fillId="0" borderId="12" xfId="0" applyFont="1" applyBorder="1" applyAlignment="1">
      <alignment vertical="center" wrapText="1"/>
    </xf>
    <xf numFmtId="0" fontId="12" fillId="0" borderId="5" xfId="0" applyFont="1" applyBorder="1" applyAlignment="1">
      <alignment vertical="center" wrapText="1"/>
    </xf>
    <xf numFmtId="0" fontId="16" fillId="0" borderId="11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49" fontId="16" fillId="0" borderId="9" xfId="0" applyNumberFormat="1" applyFont="1" applyBorder="1" applyAlignment="1">
      <alignment horizontal="center" vertical="center" wrapText="1"/>
    </xf>
    <xf numFmtId="0" fontId="16" fillId="0" borderId="12" xfId="0" applyFont="1" applyBorder="1" applyAlignment="1">
      <alignment horizontal="center" vertical="center" wrapText="1"/>
    </xf>
    <xf numFmtId="49" fontId="16" fillId="0" borderId="13" xfId="0" applyNumberFormat="1" applyFont="1" applyBorder="1" applyAlignment="1">
      <alignment horizontal="center" vertical="center" wrapText="1"/>
    </xf>
    <xf numFmtId="49" fontId="16" fillId="0" borderId="15" xfId="0" applyNumberFormat="1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6" fillId="0" borderId="21" xfId="0" applyFont="1" applyBorder="1" applyAlignment="1">
      <alignment horizontal="center" vertical="center" wrapText="1"/>
    </xf>
    <xf numFmtId="0" fontId="16" fillId="0" borderId="18" xfId="0" applyFont="1" applyBorder="1" applyAlignment="1">
      <alignment horizontal="center" vertical="center" wrapText="1"/>
    </xf>
    <xf numFmtId="49" fontId="12" fillId="0" borderId="9" xfId="0" applyNumberFormat="1" applyFont="1" applyBorder="1" applyAlignment="1">
      <alignment vertical="center" wrapText="1"/>
    </xf>
    <xf numFmtId="49" fontId="12" fillId="0" borderId="13" xfId="0" applyNumberFormat="1" applyFont="1" applyBorder="1" applyAlignment="1">
      <alignment vertical="center" wrapText="1"/>
    </xf>
    <xf numFmtId="49" fontId="12" fillId="0" borderId="15" xfId="0" applyNumberFormat="1" applyFont="1" applyBorder="1" applyAlignment="1">
      <alignment vertical="center" wrapText="1"/>
    </xf>
    <xf numFmtId="0" fontId="12" fillId="0" borderId="18" xfId="0" applyFont="1" applyBorder="1" applyAlignment="1">
      <alignment vertical="center" wrapText="1"/>
    </xf>
    <xf numFmtId="177" fontId="12" fillId="0" borderId="9" xfId="0" applyNumberFormat="1" applyFont="1" applyBorder="1" applyAlignment="1">
      <alignment vertical="center" wrapText="1"/>
    </xf>
    <xf numFmtId="0" fontId="18" fillId="0" borderId="0" xfId="0" applyFont="1" applyAlignment="1">
      <alignment wrapText="1"/>
    </xf>
    <xf numFmtId="0" fontId="16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12" fillId="0" borderId="0" xfId="0" applyFont="1" applyAlignment="1">
      <alignment wrapText="1"/>
    </xf>
    <xf numFmtId="0" fontId="12" fillId="0" borderId="10" xfId="0" applyFont="1" applyBorder="1" applyAlignment="1">
      <alignment wrapText="1"/>
    </xf>
    <xf numFmtId="0" fontId="12" fillId="0" borderId="11" xfId="0" applyFont="1" applyBorder="1" applyAlignment="1">
      <alignment wrapText="1"/>
    </xf>
    <xf numFmtId="0" fontId="25" fillId="0" borderId="10" xfId="0" applyFont="1" applyBorder="1" applyAlignment="1">
      <alignment horizontal="center" vertical="center" wrapText="1"/>
    </xf>
    <xf numFmtId="0" fontId="16" fillId="0" borderId="10" xfId="0" applyFont="1" applyBorder="1" applyAlignment="1">
      <alignment wrapText="1"/>
    </xf>
    <xf numFmtId="178" fontId="24" fillId="0" borderId="10" xfId="0" applyNumberFormat="1" applyFont="1" applyBorder="1" applyAlignment="1">
      <alignment horizontal="center" wrapText="1"/>
    </xf>
    <xf numFmtId="0" fontId="12" fillId="0" borderId="14" xfId="0" applyFont="1" applyBorder="1" applyAlignment="1">
      <alignment wrapText="1"/>
    </xf>
    <xf numFmtId="0" fontId="12" fillId="0" borderId="12" xfId="0" applyFont="1" applyBorder="1" applyAlignment="1">
      <alignment wrapText="1"/>
    </xf>
    <xf numFmtId="0" fontId="12" fillId="0" borderId="16" xfId="0" applyFont="1" applyBorder="1" applyAlignment="1">
      <alignment wrapText="1"/>
    </xf>
    <xf numFmtId="0" fontId="12" fillId="0" borderId="5" xfId="0" applyFont="1" applyBorder="1" applyAlignment="1">
      <alignment wrapText="1"/>
    </xf>
    <xf numFmtId="49" fontId="24" fillId="0" borderId="10" xfId="0" applyNumberFormat="1" applyFont="1" applyBorder="1" applyAlignment="1">
      <alignment horizontal="center" wrapText="1"/>
    </xf>
    <xf numFmtId="0" fontId="12" fillId="0" borderId="18" xfId="0" applyFont="1" applyBorder="1" applyAlignment="1">
      <alignment wrapText="1"/>
    </xf>
    <xf numFmtId="0" fontId="26" fillId="0" borderId="10" xfId="0" applyFont="1" applyBorder="1" applyAlignment="1">
      <alignment horizontal="center" vertical="top" wrapText="1"/>
    </xf>
    <xf numFmtId="0" fontId="26" fillId="0" borderId="11" xfId="0" applyFont="1" applyBorder="1" applyAlignment="1">
      <alignment horizontal="center" vertical="top" wrapText="1"/>
    </xf>
    <xf numFmtId="0" fontId="26" fillId="0" borderId="16" xfId="0" applyFont="1" applyBorder="1" applyAlignment="1">
      <alignment horizontal="justify" vertical="top" wrapText="1"/>
    </xf>
    <xf numFmtId="0" fontId="26" fillId="0" borderId="22" xfId="0" applyFont="1" applyBorder="1" applyAlignment="1">
      <alignment horizontal="justify" vertical="top" wrapText="1"/>
    </xf>
    <xf numFmtId="0" fontId="26" fillId="0" borderId="22" xfId="0" applyFont="1" applyBorder="1" applyAlignment="1">
      <alignment vertical="top" wrapText="1"/>
    </xf>
    <xf numFmtId="179" fontId="24" fillId="0" borderId="9" xfId="0" applyNumberFormat="1" applyFont="1" applyBorder="1" applyAlignment="1">
      <alignment horizontal="center" vertical="center" wrapText="1"/>
    </xf>
    <xf numFmtId="0" fontId="12" fillId="0" borderId="11" xfId="0" applyFont="1" applyBorder="1" applyAlignment="1">
      <alignment horizontal="center" vertical="center" wrapText="1"/>
    </xf>
    <xf numFmtId="0" fontId="12" fillId="0" borderId="12" xfId="0" applyFont="1" applyBorder="1" applyAlignment="1">
      <alignment horizontal="center" vertical="center" wrapText="1"/>
    </xf>
    <xf numFmtId="179" fontId="24" fillId="0" borderId="13" xfId="0" applyNumberFormat="1" applyFont="1" applyBorder="1" applyAlignment="1">
      <alignment horizontal="center" vertical="center" wrapText="1"/>
    </xf>
    <xf numFmtId="0" fontId="12" fillId="0" borderId="14" xfId="0" applyFont="1" applyBorder="1" applyAlignment="1">
      <alignment horizontal="center" vertical="center" wrapText="1"/>
    </xf>
    <xf numFmtId="179" fontId="24" fillId="0" borderId="10" xfId="0" applyNumberFormat="1" applyFont="1" applyBorder="1" applyAlignment="1">
      <alignment horizontal="center" wrapText="1"/>
    </xf>
    <xf numFmtId="0" fontId="12" fillId="0" borderId="16" xfId="0" applyFont="1" applyBorder="1" applyAlignment="1">
      <alignment horizontal="center" vertical="center" wrapText="1"/>
    </xf>
    <xf numFmtId="180" fontId="24" fillId="0" borderId="9" xfId="0" applyNumberFormat="1" applyFont="1" applyBorder="1" applyAlignment="1">
      <alignment horizontal="center" vertical="center" wrapText="1"/>
    </xf>
    <xf numFmtId="0" fontId="24" fillId="0" borderId="10" xfId="0" applyFont="1" applyBorder="1" applyAlignment="1">
      <alignment horizontal="center" wrapText="1"/>
    </xf>
    <xf numFmtId="0" fontId="12" fillId="0" borderId="1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center" vertical="center" wrapText="1"/>
    </xf>
    <xf numFmtId="0" fontId="16" fillId="0" borderId="15" xfId="0" applyFont="1" applyBorder="1" applyAlignment="1">
      <alignment horizontal="center" vertical="center" wrapText="1"/>
    </xf>
    <xf numFmtId="181" fontId="12" fillId="0" borderId="12" xfId="0" applyNumberFormat="1" applyFont="1" applyBorder="1" applyAlignment="1">
      <alignment vertical="center" wrapText="1"/>
    </xf>
    <xf numFmtId="49" fontId="12" fillId="0" borderId="0" xfId="0" applyNumberFormat="1" applyFont="1" applyAlignment="1">
      <alignment horizontal="right" vertical="center" wrapText="1"/>
    </xf>
    <xf numFmtId="49" fontId="12" fillId="0" borderId="4" xfId="0" applyNumberFormat="1" applyFont="1" applyBorder="1" applyAlignment="1">
      <alignment horizontal="center" vertical="center" wrapText="1"/>
    </xf>
    <xf numFmtId="49" fontId="16" fillId="0" borderId="10" xfId="0" applyNumberFormat="1" applyFont="1" applyBorder="1" applyAlignment="1">
      <alignment horizontal="center" vertical="center" wrapText="1"/>
    </xf>
    <xf numFmtId="49" fontId="27" fillId="0" borderId="10" xfId="0" applyNumberFormat="1" applyFont="1" applyBorder="1" applyAlignment="1">
      <alignment horizontal="center" vertical="center" wrapText="1" shrinkToFit="1"/>
    </xf>
    <xf numFmtId="49" fontId="12" fillId="0" borderId="10" xfId="0" applyNumberFormat="1" applyFont="1" applyBorder="1" applyAlignment="1">
      <alignment horizontal="center" vertical="center" wrapText="1" shrinkToFit="1"/>
    </xf>
    <xf numFmtId="49" fontId="12" fillId="0" borderId="13" xfId="0" applyNumberFormat="1" applyFont="1" applyBorder="1" applyAlignment="1">
      <alignment horizontal="center" vertical="center" wrapText="1"/>
    </xf>
    <xf numFmtId="49" fontId="12" fillId="0" borderId="15" xfId="0" applyNumberFormat="1" applyFont="1" applyBorder="1" applyAlignment="1">
      <alignment horizontal="center" vertical="center" wrapText="1"/>
    </xf>
    <xf numFmtId="49" fontId="12" fillId="0" borderId="9" xfId="0" applyNumberFormat="1" applyFont="1" applyBorder="1" applyAlignment="1">
      <alignment horizontal="center" vertical="center" wrapText="1"/>
    </xf>
    <xf numFmtId="49" fontId="12" fillId="0" borderId="10" xfId="0" applyNumberFormat="1" applyFont="1" applyBorder="1" applyAlignment="1">
      <alignment horizontal="center" vertical="center" wrapText="1"/>
    </xf>
    <xf numFmtId="49" fontId="28" fillId="0" borderId="10" xfId="0" applyNumberFormat="1" applyFont="1" applyBorder="1" applyAlignment="1">
      <alignment horizontal="center" vertical="center" wrapText="1" shrinkToFit="1"/>
    </xf>
    <xf numFmtId="49" fontId="16" fillId="0" borderId="9" xfId="0" applyNumberFormat="1" applyFont="1" applyBorder="1" applyAlignment="1">
      <alignment vertical="center" wrapText="1"/>
    </xf>
    <xf numFmtId="49" fontId="16" fillId="0" borderId="13" xfId="0" applyNumberFormat="1" applyFont="1" applyBorder="1" applyAlignment="1">
      <alignment vertical="center" wrapText="1"/>
    </xf>
    <xf numFmtId="49" fontId="16" fillId="0" borderId="15" xfId="0" applyNumberFormat="1" applyFont="1" applyBorder="1" applyAlignment="1">
      <alignment vertical="center" wrapText="1"/>
    </xf>
    <xf numFmtId="49" fontId="16" fillId="0" borderId="10" xfId="0" applyNumberFormat="1" applyFont="1" applyBorder="1" applyAlignment="1">
      <alignment vertical="center" wrapText="1"/>
    </xf>
    <xf numFmtId="0" fontId="12" fillId="0" borderId="9" xfId="0" applyFont="1" applyBorder="1" applyAlignment="1">
      <alignment horizontal="center" vertical="center" wrapText="1"/>
    </xf>
    <xf numFmtId="0" fontId="17" fillId="0" borderId="10" xfId="0" applyFont="1" applyBorder="1" applyAlignment="1">
      <alignment horizontal="center" vertical="center" wrapText="1"/>
    </xf>
    <xf numFmtId="49" fontId="16" fillId="0" borderId="0" xfId="0" applyNumberFormat="1" applyFont="1" applyAlignment="1">
      <alignment horizontal="right" vertical="center" wrapText="1"/>
    </xf>
    <xf numFmtId="0" fontId="0" fillId="0" borderId="0" xfId="0" quotePrefix="1">
      <alignment vertical="center"/>
    </xf>
    <xf numFmtId="0" fontId="9" fillId="0" borderId="23" xfId="0" quotePrefix="1" applyNumberFormat="1" applyFont="1" applyFill="1" applyBorder="1">
      <alignment vertical="center"/>
    </xf>
    <xf numFmtId="0" fontId="9" fillId="0" borderId="24" xfId="0" quotePrefix="1" applyNumberFormat="1" applyFont="1" applyFill="1" applyBorder="1">
      <alignment vertical="center"/>
    </xf>
    <xf numFmtId="0" fontId="9" fillId="0" borderId="25" xfId="0" quotePrefix="1" applyNumberFormat="1" applyFont="1" applyFill="1" applyBorder="1">
      <alignment vertical="center"/>
    </xf>
    <xf numFmtId="1" fontId="9" fillId="0" borderId="25" xfId="0" applyNumberFormat="1" applyFont="1" applyFill="1" applyBorder="1">
      <alignment vertical="center"/>
    </xf>
    <xf numFmtId="0" fontId="30" fillId="0" borderId="0" xfId="0" applyFont="1">
      <alignment vertical="center"/>
    </xf>
    <xf numFmtId="0" fontId="31" fillId="0" borderId="0" xfId="0" applyFont="1">
      <alignment vertical="center"/>
    </xf>
    <xf numFmtId="178" fontId="12" fillId="0" borderId="10" xfId="0" applyNumberFormat="1" applyFont="1" applyBorder="1" applyAlignment="1">
      <alignment horizontal="center" wrapText="1"/>
    </xf>
    <xf numFmtId="49" fontId="12" fillId="0" borderId="10" xfId="0" applyNumberFormat="1" applyFont="1" applyBorder="1" applyAlignment="1">
      <alignment wrapText="1"/>
    </xf>
    <xf numFmtId="0" fontId="12" fillId="0" borderId="10" xfId="0" applyNumberFormat="1" applyFont="1" applyBorder="1" applyAlignment="1">
      <alignment horizontal="center" wrapText="1"/>
    </xf>
    <xf numFmtId="49" fontId="12" fillId="0" borderId="10" xfId="0" applyNumberFormat="1" applyFont="1" applyBorder="1" applyAlignment="1">
      <alignment horizontal="center" wrapText="1"/>
    </xf>
    <xf numFmtId="49" fontId="29" fillId="0" borderId="10" xfId="0" applyNumberFormat="1" applyFont="1" applyBorder="1" applyAlignment="1">
      <alignment horizontal="center" wrapText="1"/>
    </xf>
    <xf numFmtId="0" fontId="32" fillId="0" borderId="10" xfId="0" applyFont="1" applyBorder="1" applyAlignment="1">
      <alignment horizontal="center" vertical="center" wrapText="1"/>
    </xf>
    <xf numFmtId="0" fontId="33" fillId="0" borderId="0" xfId="0" applyFont="1">
      <alignment vertical="center"/>
    </xf>
    <xf numFmtId="0" fontId="33" fillId="0" borderId="0" xfId="0" applyFont="1" applyAlignment="1">
      <alignment horizontal="left" vertical="center"/>
    </xf>
    <xf numFmtId="0" fontId="34" fillId="0" borderId="0" xfId="0" applyFont="1" applyAlignment="1">
      <alignment horizontal="justify" vertical="center"/>
    </xf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horizontal="left" vertical="center"/>
    </xf>
    <xf numFmtId="0" fontId="9" fillId="0" borderId="1" xfId="0" applyNumberFormat="1" applyFont="1" applyFill="1" applyBorder="1">
      <alignment vertical="center"/>
    </xf>
    <xf numFmtId="0" fontId="9" fillId="0" borderId="26" xfId="0" applyNumberFormat="1" applyFont="1" applyFill="1" applyBorder="1" applyAlignment="1">
      <alignment horizontal="center" vertical="center"/>
    </xf>
    <xf numFmtId="0" fontId="9" fillId="0" borderId="23" xfId="0" applyNumberFormat="1" applyFont="1" applyFill="1" applyBorder="1">
      <alignment vertical="center"/>
    </xf>
    <xf numFmtId="0" fontId="9" fillId="0" borderId="27" xfId="0" applyNumberFormat="1" applyFont="1" applyFill="1" applyBorder="1">
      <alignment vertical="center"/>
    </xf>
    <xf numFmtId="0" fontId="9" fillId="0" borderId="28" xfId="0" applyNumberFormat="1" applyFont="1" applyFill="1" applyBorder="1">
      <alignment vertical="center"/>
    </xf>
    <xf numFmtId="0" fontId="9" fillId="0" borderId="29" xfId="0" applyNumberFormat="1" applyFont="1" applyFill="1" applyBorder="1">
      <alignment vertical="center"/>
    </xf>
    <xf numFmtId="0" fontId="9" fillId="0" borderId="30" xfId="0" applyNumberFormat="1" applyFont="1" applyFill="1" applyBorder="1">
      <alignment vertical="center"/>
    </xf>
    <xf numFmtId="0" fontId="9" fillId="0" borderId="31" xfId="0" applyNumberFormat="1" applyFont="1" applyFill="1" applyBorder="1" applyAlignment="1">
      <alignment horizontal="center" vertical="center"/>
    </xf>
    <xf numFmtId="0" fontId="9" fillId="0" borderId="32" xfId="0" applyNumberFormat="1" applyFont="1" applyFill="1" applyBorder="1">
      <alignment vertical="center"/>
    </xf>
    <xf numFmtId="0" fontId="9" fillId="0" borderId="33" xfId="0" applyNumberFormat="1" applyFont="1" applyFill="1" applyBorder="1">
      <alignment vertical="center"/>
    </xf>
    <xf numFmtId="0" fontId="9" fillId="0" borderId="34" xfId="0" applyNumberFormat="1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16" fillId="0" borderId="10" xfId="0" applyNumberFormat="1" applyFont="1" applyBorder="1" applyAlignment="1">
      <alignment vertical="center" wrapText="1"/>
    </xf>
    <xf numFmtId="0" fontId="35" fillId="0" borderId="0" xfId="0" applyFont="1">
      <alignment vertical="center"/>
    </xf>
    <xf numFmtId="0" fontId="9" fillId="0" borderId="24" xfId="0" applyNumberFormat="1" applyFont="1" applyFill="1" applyBorder="1">
      <alignment vertical="center"/>
    </xf>
    <xf numFmtId="0" fontId="9" fillId="0" borderId="25" xfId="0" applyNumberFormat="1" applyFont="1" applyFill="1" applyBorder="1">
      <alignment vertical="center"/>
    </xf>
    <xf numFmtId="0" fontId="0" fillId="0" borderId="1" xfId="0" applyBorder="1">
      <alignment vertical="center"/>
    </xf>
    <xf numFmtId="0" fontId="9" fillId="0" borderId="35" xfId="0" applyNumberFormat="1" applyFont="1" applyFill="1" applyBorder="1">
      <alignment vertical="center"/>
    </xf>
    <xf numFmtId="0" fontId="9" fillId="0" borderId="36" xfId="0" applyNumberFormat="1" applyFont="1" applyFill="1" applyBorder="1">
      <alignment vertical="center"/>
    </xf>
    <xf numFmtId="0" fontId="9" fillId="0" borderId="37" xfId="0" applyNumberFormat="1" applyFont="1" applyFill="1" applyBorder="1">
      <alignment vertical="center"/>
    </xf>
    <xf numFmtId="0" fontId="9" fillId="0" borderId="1" xfId="0" applyNumberFormat="1" applyFont="1" applyFill="1" applyBorder="1" applyAlignment="1">
      <alignment horizontal="center" vertical="center"/>
    </xf>
    <xf numFmtId="0" fontId="9" fillId="0" borderId="27" xfId="0" applyNumberFormat="1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9" fillId="0" borderId="33" xfId="0" applyNumberFormat="1" applyFont="1" applyFill="1" applyBorder="1" applyAlignment="1">
      <alignment horizontal="center" vertical="center"/>
    </xf>
    <xf numFmtId="0" fontId="9" fillId="0" borderId="30" xfId="0" applyNumberFormat="1" applyFont="1" applyFill="1" applyBorder="1" applyAlignment="1">
      <alignment horizontal="center" vertical="center"/>
    </xf>
    <xf numFmtId="0" fontId="36" fillId="0" borderId="0" xfId="0" applyFont="1" applyAlignment="1">
      <alignment vertical="center"/>
    </xf>
    <xf numFmtId="0" fontId="9" fillId="0" borderId="38" xfId="0" applyNumberFormat="1" applyFont="1" applyFill="1" applyBorder="1">
      <alignment vertical="center"/>
    </xf>
    <xf numFmtId="0" fontId="9" fillId="0" borderId="39" xfId="0" applyNumberFormat="1" applyFont="1" applyFill="1" applyBorder="1">
      <alignment vertical="center"/>
    </xf>
    <xf numFmtId="0" fontId="9" fillId="0" borderId="28" xfId="0" applyNumberFormat="1" applyFont="1" applyFill="1" applyBorder="1" applyAlignment="1">
      <alignment horizontal="center" vertical="center"/>
    </xf>
    <xf numFmtId="0" fontId="9" fillId="0" borderId="32" xfId="0" applyNumberFormat="1" applyFont="1" applyFill="1" applyBorder="1" applyAlignment="1">
      <alignment horizontal="center" vertical="center"/>
    </xf>
    <xf numFmtId="0" fontId="9" fillId="0" borderId="38" xfId="0" applyNumberFormat="1" applyFont="1" applyFill="1" applyBorder="1" applyAlignment="1">
      <alignment horizontal="center" vertical="center"/>
    </xf>
    <xf numFmtId="0" fontId="9" fillId="0" borderId="23" xfId="0" applyNumberFormat="1" applyFont="1" applyFill="1" applyBorder="1" applyAlignment="1">
      <alignment horizontal="center" vertical="center"/>
    </xf>
    <xf numFmtId="0" fontId="9" fillId="0" borderId="29" xfId="0" applyNumberFormat="1" applyFont="1" applyFill="1" applyBorder="1" applyAlignment="1">
      <alignment horizontal="center" vertical="center"/>
    </xf>
    <xf numFmtId="0" fontId="9" fillId="0" borderId="25" xfId="0" applyNumberFormat="1" applyFont="1" applyFill="1" applyBorder="1" applyAlignment="1">
      <alignment horizontal="center" vertical="center"/>
    </xf>
    <xf numFmtId="0" fontId="9" fillId="0" borderId="39" xfId="0" applyNumberFormat="1" applyFont="1" applyFill="1" applyBorder="1" applyAlignment="1">
      <alignment horizontal="center" vertical="center"/>
    </xf>
    <xf numFmtId="49" fontId="9" fillId="0" borderId="23" xfId="0" applyNumberFormat="1" applyFont="1" applyFill="1" applyBorder="1" applyAlignment="1">
      <alignment horizontal="center" vertical="center"/>
    </xf>
    <xf numFmtId="49" fontId="9" fillId="0" borderId="25" xfId="0" applyNumberFormat="1" applyFont="1" applyFill="1" applyBorder="1" applyAlignment="1">
      <alignment horizontal="center" vertical="center"/>
    </xf>
    <xf numFmtId="49" fontId="9" fillId="0" borderId="24" xfId="0" applyNumberFormat="1" applyFont="1" applyFill="1" applyBorder="1" applyAlignment="1">
      <alignment horizontal="center" vertical="center"/>
    </xf>
    <xf numFmtId="0" fontId="39" fillId="0" borderId="23" xfId="0" applyNumberFormat="1" applyFont="1" applyFill="1" applyBorder="1">
      <alignment vertical="center"/>
    </xf>
    <xf numFmtId="0" fontId="39" fillId="0" borderId="25" xfId="0" applyNumberFormat="1" applyFont="1" applyFill="1" applyBorder="1">
      <alignment vertical="center"/>
    </xf>
    <xf numFmtId="0" fontId="9" fillId="0" borderId="36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vertical="center" wrapText="1"/>
    </xf>
    <xf numFmtId="0" fontId="9" fillId="0" borderId="35" xfId="0" applyNumberFormat="1" applyFont="1" applyFill="1" applyBorder="1" applyAlignment="1">
      <alignment horizontal="center" vertical="center"/>
    </xf>
    <xf numFmtId="0" fontId="9" fillId="0" borderId="37" xfId="0" applyNumberFormat="1" applyFont="1" applyFill="1" applyBorder="1" applyAlignment="1">
      <alignment horizontal="center" vertical="center"/>
    </xf>
    <xf numFmtId="0" fontId="40" fillId="0" borderId="0" xfId="0" applyFont="1" applyAlignment="1">
      <alignment vertical="center" wrapText="1"/>
    </xf>
    <xf numFmtId="0" fontId="9" fillId="0" borderId="40" xfId="0" applyNumberFormat="1" applyFont="1" applyFill="1" applyBorder="1">
      <alignment vertical="center"/>
    </xf>
    <xf numFmtId="0" fontId="1" fillId="0" borderId="1" xfId="0" applyNumberFormat="1" applyFont="1" applyFill="1" applyBorder="1" applyAlignment="1">
      <alignment horizontal="center" vertical="center"/>
    </xf>
    <xf numFmtId="0" fontId="1" fillId="0" borderId="1" xfId="0" applyNumberFormat="1" applyFont="1" applyFill="1" applyBorder="1" applyAlignment="1">
      <alignment vertical="center"/>
    </xf>
    <xf numFmtId="0" fontId="41" fillId="0" borderId="1" xfId="0" applyFont="1" applyBorder="1" applyAlignment="1">
      <alignment horizontal="center"/>
    </xf>
    <xf numFmtId="0" fontId="9" fillId="0" borderId="1" xfId="0" applyNumberFormat="1" applyFont="1" applyFill="1" applyBorder="1" applyAlignment="1">
      <alignment vertical="center"/>
    </xf>
    <xf numFmtId="0" fontId="42" fillId="0" borderId="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26" fillId="0" borderId="1" xfId="0" applyFont="1" applyBorder="1">
      <alignment vertical="center"/>
    </xf>
    <xf numFmtId="49" fontId="9" fillId="0" borderId="1" xfId="0" applyNumberFormat="1" applyFont="1" applyFill="1" applyBorder="1">
      <alignment vertical="center"/>
    </xf>
    <xf numFmtId="49" fontId="9" fillId="0" borderId="1" xfId="0" applyNumberFormat="1" applyFont="1" applyBorder="1">
      <alignment vertical="center"/>
    </xf>
    <xf numFmtId="0" fontId="18" fillId="0" borderId="41" xfId="0" applyFont="1" applyBorder="1" applyAlignment="1">
      <alignment vertical="center" wrapText="1"/>
    </xf>
    <xf numFmtId="49" fontId="7" fillId="0" borderId="35" xfId="1" applyNumberFormat="1" applyFont="1" applyBorder="1" applyAlignment="1">
      <alignment horizontal="center"/>
    </xf>
    <xf numFmtId="49" fontId="24" fillId="0" borderId="1" xfId="1" applyNumberFormat="1" applyFont="1" applyBorder="1" applyAlignment="1">
      <alignment horizontal="center"/>
    </xf>
    <xf numFmtId="49" fontId="7" fillId="0" borderId="1" xfId="5" applyNumberFormat="1" applyFont="1" applyFill="1" applyBorder="1" applyAlignment="1">
      <alignment horizontal="center"/>
    </xf>
    <xf numFmtId="49" fontId="7" fillId="0" borderId="1" xfId="5" quotePrefix="1" applyNumberFormat="1" applyFont="1" applyFill="1" applyBorder="1" applyAlignment="1">
      <alignment horizontal="center"/>
    </xf>
    <xf numFmtId="182" fontId="24" fillId="0" borderId="1" xfId="0" applyNumberFormat="1" applyFont="1" applyFill="1" applyBorder="1" applyAlignment="1">
      <alignment horizontal="center" vertical="center"/>
    </xf>
    <xf numFmtId="49" fontId="9" fillId="0" borderId="23" xfId="0" applyNumberFormat="1" applyFont="1" applyFill="1" applyBorder="1">
      <alignment vertical="center"/>
    </xf>
    <xf numFmtId="49" fontId="9" fillId="0" borderId="25" xfId="0" applyNumberFormat="1" applyFont="1" applyFill="1" applyBorder="1">
      <alignment vertical="center"/>
    </xf>
    <xf numFmtId="49" fontId="9" fillId="0" borderId="24" xfId="0" applyNumberFormat="1" applyFont="1" applyFill="1" applyBorder="1">
      <alignment vertical="center"/>
    </xf>
    <xf numFmtId="0" fontId="26" fillId="0" borderId="1" xfId="0" applyFont="1" applyBorder="1" applyAlignment="1">
      <alignment horizontal="center" vertical="center"/>
    </xf>
    <xf numFmtId="0" fontId="9" fillId="0" borderId="42" xfId="0" applyNumberFormat="1" applyFont="1" applyFill="1" applyBorder="1" applyAlignment="1">
      <alignment horizontal="center" vertical="center"/>
    </xf>
    <xf numFmtId="0" fontId="43" fillId="0" borderId="0" xfId="0" applyFont="1" applyBorder="1">
      <alignment vertical="center"/>
    </xf>
    <xf numFmtId="0" fontId="43" fillId="0" borderId="0" xfId="0" applyFont="1">
      <alignment vertical="center"/>
    </xf>
    <xf numFmtId="0" fontId="44" fillId="0" borderId="0" xfId="0" applyFont="1" applyBorder="1">
      <alignment vertical="center"/>
    </xf>
    <xf numFmtId="0" fontId="45" fillId="0" borderId="0" xfId="0" applyFont="1" applyBorder="1">
      <alignment vertical="center"/>
    </xf>
    <xf numFmtId="49" fontId="7" fillId="3" borderId="1" xfId="5" applyNumberFormat="1" applyFont="1" applyFill="1" applyBorder="1" applyAlignment="1">
      <alignment horizontal="center" vertical="center"/>
    </xf>
    <xf numFmtId="49" fontId="7" fillId="0" borderId="1" xfId="0" applyNumberFormat="1" applyFont="1" applyFill="1" applyBorder="1" applyAlignment="1" applyProtection="1">
      <alignment horizontal="center" vertical="center"/>
    </xf>
    <xf numFmtId="49" fontId="7" fillId="2" borderId="1" xfId="5" applyNumberFormat="1" applyFont="1" applyBorder="1" applyAlignment="1">
      <alignment horizontal="center" vertical="center" wrapText="1"/>
    </xf>
    <xf numFmtId="49" fontId="7" fillId="0" borderId="1" xfId="0" applyNumberFormat="1" applyFont="1" applyFill="1" applyBorder="1" applyAlignment="1">
      <alignment horizontal="center" vertical="center"/>
    </xf>
    <xf numFmtId="49" fontId="7" fillId="0" borderId="1" xfId="5" applyNumberFormat="1" applyFont="1" applyFill="1" applyBorder="1" applyAlignment="1">
      <alignment horizontal="center" vertical="center" wrapText="1"/>
    </xf>
    <xf numFmtId="0" fontId="36" fillId="0" borderId="1" xfId="0" applyFont="1" applyBorder="1" applyAlignment="1">
      <alignment vertical="center"/>
    </xf>
    <xf numFmtId="49" fontId="0" fillId="2" borderId="1" xfId="5" applyNumberFormat="1" applyFont="1" applyBorder="1" applyAlignment="1">
      <alignment horizontal="center" vertical="center"/>
    </xf>
    <xf numFmtId="49" fontId="47" fillId="0" borderId="1" xfId="0" applyNumberFormat="1" applyFont="1" applyFill="1" applyBorder="1" applyAlignment="1">
      <alignment horizontal="center" vertical="center" wrapText="1"/>
    </xf>
    <xf numFmtId="49" fontId="33" fillId="3" borderId="1" xfId="5" applyNumberFormat="1" applyFont="1" applyFill="1" applyBorder="1" applyAlignment="1">
      <alignment horizontal="center" vertical="center"/>
    </xf>
    <xf numFmtId="0" fontId="9" fillId="0" borderId="23" xfId="0" quotePrefix="1" applyNumberFormat="1" applyFont="1" applyFill="1" applyBorder="1" applyAlignment="1">
      <alignment horizontal="center" vertical="center"/>
    </xf>
    <xf numFmtId="0" fontId="9" fillId="0" borderId="25" xfId="0" quotePrefix="1" applyNumberFormat="1" applyFont="1" applyFill="1" applyBorder="1" applyAlignment="1">
      <alignment horizontal="center" vertical="center"/>
    </xf>
    <xf numFmtId="0" fontId="9" fillId="0" borderId="24" xfId="0" applyNumberFormat="1" applyFont="1" applyFill="1" applyBorder="1" applyAlignment="1">
      <alignment horizontal="center" vertical="center"/>
    </xf>
    <xf numFmtId="0" fontId="9" fillId="0" borderId="24" xfId="0" quotePrefix="1" applyNumberFormat="1" applyFont="1" applyFill="1" applyBorder="1" applyAlignment="1">
      <alignment horizontal="center" vertical="center"/>
    </xf>
    <xf numFmtId="0" fontId="48" fillId="0" borderId="1" xfId="5" quotePrefix="1" applyNumberFormat="1" applyFont="1" applyFill="1" applyBorder="1" applyAlignment="1">
      <alignment horizontal="center" vertical="center"/>
    </xf>
    <xf numFmtId="0" fontId="48" fillId="0" borderId="1" xfId="5" applyNumberFormat="1" applyFont="1" applyFill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0" fontId="50" fillId="0" borderId="1" xfId="0" applyNumberFormat="1" applyFont="1" applyFill="1" applyBorder="1" applyAlignment="1">
      <alignment horizontal="center" vertical="center"/>
    </xf>
    <xf numFmtId="0" fontId="9" fillId="0" borderId="28" xfId="0" applyNumberFormat="1" applyFont="1" applyFill="1" applyBorder="1" applyAlignment="1">
      <alignment vertical="center"/>
    </xf>
    <xf numFmtId="0" fontId="9" fillId="0" borderId="30" xfId="0" applyNumberFormat="1" applyFont="1" applyFill="1" applyBorder="1" applyAlignment="1">
      <alignment vertical="center"/>
    </xf>
    <xf numFmtId="0" fontId="9" fillId="0" borderId="32" xfId="0" applyNumberFormat="1" applyFont="1" applyFill="1" applyBorder="1" applyAlignment="1">
      <alignment vertical="center"/>
    </xf>
    <xf numFmtId="0" fontId="9" fillId="0" borderId="33" xfId="0" applyNumberFormat="1" applyFont="1" applyFill="1" applyBorder="1" applyAlignment="1">
      <alignment vertical="center"/>
    </xf>
    <xf numFmtId="0" fontId="9" fillId="0" borderId="38" xfId="0" applyNumberFormat="1" applyFont="1" applyFill="1" applyBorder="1" applyAlignment="1">
      <alignment vertical="center"/>
    </xf>
    <xf numFmtId="0" fontId="37" fillId="0" borderId="1" xfId="0" applyFont="1" applyBorder="1" applyAlignment="1">
      <alignment horizontal="center" vertical="center"/>
    </xf>
    <xf numFmtId="0" fontId="7" fillId="0" borderId="1" xfId="0" quotePrefix="1" applyNumberFormat="1" applyFont="1" applyFill="1" applyBorder="1">
      <alignment vertical="center"/>
    </xf>
    <xf numFmtId="0" fontId="7" fillId="0" borderId="1" xfId="0" applyNumberFormat="1" applyFont="1" applyFill="1" applyBorder="1">
      <alignment vertical="center"/>
    </xf>
    <xf numFmtId="49" fontId="20" fillId="0" borderId="1" xfId="0" applyNumberFormat="1" applyFont="1" applyBorder="1" applyAlignment="1">
      <alignment horizontal="center"/>
    </xf>
    <xf numFmtId="0" fontId="51" fillId="0" borderId="1" xfId="0" applyNumberFormat="1" applyFont="1" applyFill="1" applyBorder="1">
      <alignment vertical="center"/>
    </xf>
    <xf numFmtId="0" fontId="7" fillId="0" borderId="1" xfId="0" applyFont="1" applyBorder="1" applyAlignment="1">
      <alignment horizontal="justify" vertical="center"/>
    </xf>
    <xf numFmtId="0" fontId="9" fillId="0" borderId="26" xfId="0" quotePrefix="1" applyNumberFormat="1" applyFont="1" applyFill="1" applyBorder="1" applyAlignment="1">
      <alignment horizontal="center" vertical="center"/>
    </xf>
    <xf numFmtId="0" fontId="9" fillId="0" borderId="23" xfId="10" quotePrefix="1" applyFont="1" applyBorder="1" applyAlignment="1">
      <alignment vertical="center"/>
    </xf>
    <xf numFmtId="0" fontId="9" fillId="0" borderId="25" xfId="10" quotePrefix="1" applyFont="1" applyBorder="1" applyAlignment="1">
      <alignment vertical="center"/>
    </xf>
    <xf numFmtId="0" fontId="9" fillId="0" borderId="24" xfId="10" quotePrefix="1" applyFont="1" applyBorder="1" applyAlignment="1">
      <alignment vertical="center"/>
    </xf>
    <xf numFmtId="0" fontId="9" fillId="0" borderId="1" xfId="10" applyFont="1" applyBorder="1" applyAlignment="1">
      <alignment vertical="center"/>
    </xf>
    <xf numFmtId="0" fontId="9" fillId="0" borderId="26" xfId="10" applyFont="1" applyBorder="1" applyAlignment="1">
      <alignment horizontal="center" vertical="center"/>
    </xf>
    <xf numFmtId="0" fontId="9" fillId="0" borderId="27" xfId="10" applyFont="1" applyBorder="1" applyAlignment="1">
      <alignment vertical="center"/>
    </xf>
    <xf numFmtId="0" fontId="9" fillId="0" borderId="28" xfId="10" applyFont="1" applyBorder="1" applyAlignment="1">
      <alignment vertical="center"/>
    </xf>
    <xf numFmtId="0" fontId="9" fillId="0" borderId="33" xfId="10" applyFont="1" applyBorder="1" applyAlignment="1">
      <alignment vertical="center"/>
    </xf>
    <xf numFmtId="0" fontId="9" fillId="0" borderId="34" xfId="10" applyFont="1" applyBorder="1" applyAlignment="1">
      <alignment horizontal="center" vertical="center"/>
    </xf>
    <xf numFmtId="0" fontId="9" fillId="0" borderId="30" xfId="10" applyFont="1" applyBorder="1" applyAlignment="1">
      <alignment vertical="center"/>
    </xf>
    <xf numFmtId="0" fontId="9" fillId="0" borderId="31" xfId="10" applyFont="1" applyBorder="1" applyAlignment="1">
      <alignment horizontal="center" vertical="center"/>
    </xf>
    <xf numFmtId="0" fontId="9" fillId="0" borderId="29" xfId="10" applyFont="1" applyBorder="1" applyAlignment="1">
      <alignment vertical="center"/>
    </xf>
    <xf numFmtId="0" fontId="9" fillId="0" borderId="32" xfId="10" applyFont="1" applyBorder="1" applyAlignment="1">
      <alignment vertical="center"/>
    </xf>
    <xf numFmtId="0" fontId="9" fillId="0" borderId="39" xfId="10" applyFont="1" applyBorder="1" applyAlignment="1">
      <alignment vertical="center"/>
    </xf>
    <xf numFmtId="0" fontId="9" fillId="0" borderId="38" xfId="10" applyFont="1" applyBorder="1" applyAlignment="1">
      <alignment vertical="center"/>
    </xf>
    <xf numFmtId="0" fontId="38" fillId="0" borderId="1" xfId="0" applyNumberFormat="1" applyFont="1" applyFill="1" applyBorder="1" applyAlignment="1">
      <alignment horizontal="center"/>
    </xf>
    <xf numFmtId="0" fontId="51" fillId="0" borderId="1" xfId="0" applyNumberFormat="1" applyFont="1" applyFill="1" applyBorder="1" applyAlignment="1">
      <alignment horizontal="center" vertical="center"/>
    </xf>
    <xf numFmtId="49" fontId="52" fillId="0" borderId="1" xfId="0" applyNumberFormat="1" applyFont="1" applyBorder="1" applyAlignment="1"/>
    <xf numFmtId="0" fontId="0" fillId="0" borderId="0" xfId="0" applyAlignment="1">
      <alignment horizontal="center" vertical="center"/>
    </xf>
    <xf numFmtId="0" fontId="9" fillId="0" borderId="1" xfId="0" applyFont="1" applyBorder="1" applyAlignment="1">
      <alignment vertical="center"/>
    </xf>
    <xf numFmtId="49" fontId="53" fillId="0" borderId="1" xfId="0" applyNumberFormat="1" applyFont="1" applyFill="1" applyBorder="1" applyAlignment="1">
      <alignment horizontal="left" vertical="center"/>
    </xf>
    <xf numFmtId="0" fontId="54" fillId="0" borderId="1" xfId="0" applyNumberFormat="1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horizontal="center" vertical="center"/>
    </xf>
    <xf numFmtId="49" fontId="55" fillId="0" borderId="23" xfId="0" applyNumberFormat="1" applyFont="1" applyFill="1" applyBorder="1" applyAlignment="1">
      <alignment horizontal="center" vertical="center"/>
    </xf>
    <xf numFmtId="49" fontId="55" fillId="0" borderId="30" xfId="0" applyNumberFormat="1" applyFont="1" applyFill="1" applyBorder="1" applyAlignment="1">
      <alignment horizontal="center" vertical="center"/>
    </xf>
    <xf numFmtId="0" fontId="55" fillId="0" borderId="1" xfId="0" applyNumberFormat="1" applyFont="1" applyFill="1" applyBorder="1">
      <alignment vertical="center"/>
    </xf>
    <xf numFmtId="0" fontId="55" fillId="0" borderId="26" xfId="0" applyNumberFormat="1" applyFont="1" applyFill="1" applyBorder="1" applyAlignment="1">
      <alignment horizontal="center" vertical="center"/>
    </xf>
    <xf numFmtId="0" fontId="55" fillId="0" borderId="27" xfId="0" applyNumberFormat="1" applyFont="1" applyFill="1" applyBorder="1">
      <alignment vertical="center"/>
    </xf>
    <xf numFmtId="0" fontId="56" fillId="0" borderId="0" xfId="0" applyFont="1">
      <alignment vertical="center"/>
    </xf>
    <xf numFmtId="0" fontId="55" fillId="0" borderId="28" xfId="0" applyNumberFormat="1" applyFont="1" applyFill="1" applyBorder="1">
      <alignment vertical="center"/>
    </xf>
    <xf numFmtId="49" fontId="55" fillId="0" borderId="24" xfId="0" applyNumberFormat="1" applyFont="1" applyFill="1" applyBorder="1" applyAlignment="1">
      <alignment horizontal="center" vertical="center"/>
    </xf>
    <xf numFmtId="0" fontId="55" fillId="0" borderId="30" xfId="0" applyNumberFormat="1" applyFont="1" applyFill="1" applyBorder="1">
      <alignment vertical="center"/>
    </xf>
    <xf numFmtId="0" fontId="55" fillId="0" borderId="31" xfId="0" applyNumberFormat="1" applyFont="1" applyFill="1" applyBorder="1" applyAlignment="1">
      <alignment horizontal="center" vertical="center"/>
    </xf>
    <xf numFmtId="0" fontId="9" fillId="3" borderId="33" xfId="0" applyNumberFormat="1" applyFont="1" applyFill="1" applyBorder="1">
      <alignment vertical="center"/>
    </xf>
    <xf numFmtId="0" fontId="55" fillId="0" borderId="1" xfId="0" applyNumberFormat="1" applyFont="1" applyFill="1" applyBorder="1" applyAlignment="1">
      <alignment horizontal="center" vertical="center"/>
    </xf>
    <xf numFmtId="0" fontId="55" fillId="0" borderId="28" xfId="0" applyNumberFormat="1" applyFont="1" applyFill="1" applyBorder="1" applyAlignment="1">
      <alignment horizontal="center" vertical="center"/>
    </xf>
    <xf numFmtId="0" fontId="57" fillId="0" borderId="0" xfId="0" applyFont="1">
      <alignment vertical="center"/>
    </xf>
    <xf numFmtId="0" fontId="58" fillId="0" borderId="35" xfId="0" applyNumberFormat="1" applyFont="1" applyFill="1" applyBorder="1">
      <alignment vertical="center"/>
    </xf>
    <xf numFmtId="0" fontId="58" fillId="0" borderId="1" xfId="0" applyNumberFormat="1" applyFont="1" applyFill="1" applyBorder="1">
      <alignment vertical="center"/>
    </xf>
    <xf numFmtId="0" fontId="58" fillId="0" borderId="28" xfId="0" applyNumberFormat="1" applyFont="1" applyFill="1" applyBorder="1">
      <alignment vertical="center"/>
    </xf>
    <xf numFmtId="0" fontId="0" fillId="0" borderId="1" xfId="0" applyFont="1" applyBorder="1">
      <alignment vertical="center"/>
    </xf>
    <xf numFmtId="0" fontId="10" fillId="0" borderId="2" xfId="0" applyFont="1" applyBorder="1" applyAlignment="1">
      <alignment horizontal="left" vertical="center" wrapText="1"/>
    </xf>
    <xf numFmtId="0" fontId="9" fillId="0" borderId="3" xfId="0" applyFont="1" applyBorder="1" applyAlignment="1">
      <alignment horizontal="left" vertical="center"/>
    </xf>
    <xf numFmtId="0" fontId="18" fillId="0" borderId="4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 wrapText="1"/>
    </xf>
    <xf numFmtId="0" fontId="8" fillId="0" borderId="2" xfId="0" applyFont="1" applyBorder="1" applyAlignment="1">
      <alignment horizontal="left" vertical="center" wrapText="1"/>
    </xf>
    <xf numFmtId="0" fontId="0" fillId="0" borderId="0" xfId="0" applyAlignment="1">
      <alignment horizontal="center" vertical="center"/>
    </xf>
  </cellXfs>
  <cellStyles count="11">
    <cellStyle name="oft Excel]_x005f_x000d__x005f_x000a_Comment=The open=/f lines load custom functions into the Paste Function list._x005f_x000d__x005f_x000a_Maximized=2_x005f_x000d__x005f_x000a_AutoFormat=" xfId="1"/>
    <cellStyle name="常规" xfId="0" builtinId="0"/>
    <cellStyle name="常规 13" xfId="2"/>
    <cellStyle name="常规 2" xfId="3"/>
    <cellStyle name="常规 3" xfId="4"/>
    <cellStyle name="常规 4" xfId="5"/>
    <cellStyle name="常规 49" xfId="6"/>
    <cellStyle name="常规 5" xfId="7"/>
    <cellStyle name="常规 51" xfId="8"/>
    <cellStyle name="常规 52" xfId="9"/>
    <cellStyle name="样式 15" xfId="10"/>
  </cellStyles>
  <dxfs count="63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6500"/>
      </font>
      <fill>
        <patternFill patternType="solid">
          <fgColor indexed="64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6500"/>
      </font>
      <fill>
        <patternFill patternType="solid">
          <fgColor indexed="64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6500"/>
      </font>
      <fill>
        <patternFill patternType="solid">
          <fgColor indexed="64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6500"/>
      </font>
      <fill>
        <patternFill patternType="solid">
          <fgColor indexed="64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6500"/>
      </font>
      <fill>
        <patternFill patternType="solid">
          <fgColor indexed="64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6500"/>
      </font>
      <fill>
        <patternFill patternType="solid">
          <fgColor indexed="64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6500"/>
      </font>
      <fill>
        <patternFill patternType="solid">
          <fgColor indexed="64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6500"/>
      </font>
      <fill>
        <patternFill patternType="solid">
          <fgColor indexed="64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6500"/>
      </font>
      <fill>
        <patternFill patternType="solid">
          <fgColor indexed="64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6500"/>
      </font>
      <fill>
        <patternFill patternType="solid">
          <fgColor indexed="64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6500"/>
      </font>
      <fill>
        <patternFill patternType="solid">
          <fgColor indexed="64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6500"/>
      </font>
      <fill>
        <patternFill patternType="solid">
          <fgColor indexed="64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6500"/>
      </font>
      <fill>
        <patternFill patternType="solid">
          <fgColor indexed="64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6500"/>
      </font>
      <fill>
        <patternFill patternType="solid">
          <fgColor indexed="64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6500"/>
      </font>
      <fill>
        <patternFill patternType="solid">
          <fgColor indexed="64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6500"/>
      </font>
      <fill>
        <patternFill patternType="solid">
          <fgColor indexed="64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6500"/>
      </font>
      <fill>
        <patternFill patternType="solid">
          <fgColor indexed="64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6500"/>
      </font>
      <fill>
        <patternFill patternType="solid">
          <fgColor indexed="64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6500"/>
      </font>
      <fill>
        <patternFill patternType="solid">
          <fgColor indexed="64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6500"/>
      </font>
      <fill>
        <patternFill patternType="solid">
          <fgColor indexed="64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6500"/>
      </font>
      <fill>
        <patternFill patternType="solid">
          <fgColor indexed="64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6500"/>
      </font>
      <fill>
        <patternFill patternType="solid">
          <fgColor indexed="64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6500"/>
      </font>
      <fill>
        <patternFill patternType="solid">
          <fgColor indexed="64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6500"/>
      </font>
      <fill>
        <patternFill patternType="solid">
          <fgColor indexed="64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6500"/>
      </font>
      <fill>
        <patternFill patternType="solid">
          <fgColor indexed="64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6500"/>
      </font>
      <fill>
        <patternFill patternType="solid">
          <fgColor indexed="64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6500"/>
      </font>
      <fill>
        <patternFill patternType="solid">
          <fgColor indexed="64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6500"/>
      </font>
      <fill>
        <patternFill patternType="solid">
          <fgColor indexed="64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6500"/>
      </font>
      <fill>
        <patternFill patternType="solid">
          <fgColor indexed="64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6500"/>
      </font>
      <fill>
        <patternFill patternType="solid">
          <fgColor indexed="64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6"/>
  <dimension ref="A1:N273"/>
  <sheetViews>
    <sheetView workbookViewId="0">
      <selection activeCell="Q20" sqref="Q20"/>
    </sheetView>
  </sheetViews>
  <sheetFormatPr defaultRowHeight="12.75" customHeight="1"/>
  <cols>
    <col min="1" max="2" width="9" style="24"/>
    <col min="3" max="3" width="9" style="25"/>
    <col min="4" max="13" width="9" style="24"/>
    <col min="14" max="14" width="30.5" style="24" customWidth="1"/>
    <col min="15" max="16384" width="9" style="24"/>
  </cols>
  <sheetData>
    <row r="1" spans="1:14" ht="12.75" customHeight="1">
      <c r="A1" s="24">
        <v>21</v>
      </c>
      <c r="B1" s="24">
        <v>11</v>
      </c>
      <c r="N1" s="24">
        <v>15</v>
      </c>
    </row>
    <row r="3" spans="1:14" ht="12.75" customHeight="1" thickBot="1">
      <c r="A3" s="144" t="s">
        <v>435</v>
      </c>
      <c r="B3" s="61" t="s">
        <v>419</v>
      </c>
      <c r="C3" s="40"/>
      <c r="D3" s="36" t="s">
        <v>436</v>
      </c>
      <c r="E3" s="39" t="s">
        <v>449</v>
      </c>
      <c r="F3" s="40"/>
      <c r="G3" s="41" t="s">
        <v>455</v>
      </c>
      <c r="H3" s="61" t="s">
        <v>609</v>
      </c>
      <c r="I3" s="40"/>
      <c r="J3" s="41" t="s">
        <v>456</v>
      </c>
      <c r="K3" s="61" t="s">
        <v>610</v>
      </c>
      <c r="L3" s="40"/>
      <c r="M3" s="40"/>
      <c r="N3" s="144" t="s">
        <v>435</v>
      </c>
    </row>
    <row r="4" spans="1:14" ht="12.75" customHeight="1" thickTop="1">
      <c r="A4" s="26" t="s">
        <v>457</v>
      </c>
      <c r="B4" s="43" t="s">
        <v>458</v>
      </c>
      <c r="C4" s="44" t="s">
        <v>459</v>
      </c>
      <c r="D4" s="45" t="s">
        <v>440</v>
      </c>
      <c r="E4" s="46" t="s">
        <v>461</v>
      </c>
      <c r="F4" s="46" t="s">
        <v>462</v>
      </c>
      <c r="G4" s="46" t="s">
        <v>463</v>
      </c>
      <c r="H4" s="46" t="s">
        <v>464</v>
      </c>
      <c r="I4" s="46" t="s">
        <v>467</v>
      </c>
      <c r="J4" s="46" t="s">
        <v>466</v>
      </c>
      <c r="K4" s="46" t="s">
        <v>447</v>
      </c>
      <c r="L4" s="46" t="s">
        <v>469</v>
      </c>
      <c r="M4" s="47" t="s">
        <v>442</v>
      </c>
      <c r="N4" s="145" t="s">
        <v>439</v>
      </c>
    </row>
    <row r="5" spans="1:14" ht="12.75" customHeight="1">
      <c r="A5" s="148" t="s">
        <v>1785</v>
      </c>
      <c r="B5" s="181" t="s">
        <v>1786</v>
      </c>
      <c r="C5" s="207" t="s">
        <v>595</v>
      </c>
      <c r="D5" s="179" t="s">
        <v>605</v>
      </c>
      <c r="E5" s="255" t="s">
        <v>597</v>
      </c>
      <c r="F5" s="255" t="s">
        <v>597</v>
      </c>
      <c r="G5" s="179"/>
      <c r="H5" s="179"/>
      <c r="I5" s="179"/>
      <c r="J5" s="179"/>
      <c r="K5" s="179"/>
      <c r="L5" s="183"/>
      <c r="M5" s="181"/>
      <c r="N5" s="250" t="s">
        <v>1071</v>
      </c>
    </row>
    <row r="6" spans="1:14" ht="12.75" customHeight="1">
      <c r="A6" s="148" t="s">
        <v>1790</v>
      </c>
      <c r="B6" s="181" t="s">
        <v>1791</v>
      </c>
      <c r="C6" s="199" t="s">
        <v>595</v>
      </c>
      <c r="D6" s="179" t="s">
        <v>1079</v>
      </c>
      <c r="E6" s="179"/>
      <c r="F6" s="179"/>
      <c r="G6" s="255" t="s">
        <v>597</v>
      </c>
      <c r="H6" s="255" t="s">
        <v>597</v>
      </c>
      <c r="I6" s="179"/>
      <c r="J6" s="179"/>
      <c r="K6" s="251"/>
      <c r="L6"/>
      <c r="M6" s="181"/>
      <c r="N6" s="251" t="s">
        <v>1072</v>
      </c>
    </row>
    <row r="7" spans="1:14" ht="12.75" customHeight="1">
      <c r="A7" s="148" t="s">
        <v>1794</v>
      </c>
      <c r="B7" s="179" t="s">
        <v>1795</v>
      </c>
      <c r="C7" s="199" t="s">
        <v>595</v>
      </c>
      <c r="D7" s="179" t="s">
        <v>1079</v>
      </c>
      <c r="E7" s="179"/>
      <c r="F7" s="179"/>
      <c r="G7" s="255" t="s">
        <v>597</v>
      </c>
      <c r="H7" s="179"/>
      <c r="I7" s="255" t="s">
        <v>597</v>
      </c>
      <c r="J7" s="255"/>
      <c r="K7" s="179"/>
      <c r="L7" s="179"/>
      <c r="M7" s="182"/>
      <c r="N7" s="250" t="s">
        <v>1073</v>
      </c>
    </row>
    <row r="8" spans="1:14" ht="12.75" customHeight="1" thickBot="1">
      <c r="A8" s="149" t="s">
        <v>1797</v>
      </c>
      <c r="B8" s="181" t="s">
        <v>1798</v>
      </c>
      <c r="C8" s="189" t="s">
        <v>595</v>
      </c>
      <c r="D8" s="179" t="s">
        <v>606</v>
      </c>
      <c r="E8" s="196"/>
      <c r="F8" s="196"/>
      <c r="G8" s="204"/>
      <c r="H8" s="196"/>
      <c r="I8" s="196"/>
      <c r="J8" s="255" t="s">
        <v>597</v>
      </c>
      <c r="K8" s="255"/>
      <c r="L8" s="255" t="s">
        <v>597</v>
      </c>
      <c r="M8" s="182"/>
      <c r="N8" s="250" t="s">
        <v>1074</v>
      </c>
    </row>
    <row r="9" spans="1:14" ht="12.75" customHeight="1" thickTop="1">
      <c r="A9" s="150" t="s">
        <v>1801</v>
      </c>
      <c r="B9" s="181" t="s">
        <v>1802</v>
      </c>
      <c r="C9" s="208" t="s">
        <v>596</v>
      </c>
      <c r="D9" s="179" t="s">
        <v>1079</v>
      </c>
      <c r="E9" s="255" t="s">
        <v>597</v>
      </c>
      <c r="F9" s="255" t="s">
        <v>597</v>
      </c>
      <c r="G9" s="179"/>
      <c r="H9" s="179"/>
      <c r="I9" s="179"/>
      <c r="J9" s="179"/>
      <c r="K9" s="179"/>
      <c r="L9" s="179"/>
      <c r="M9" s="182"/>
      <c r="N9" s="252" t="s">
        <v>1075</v>
      </c>
    </row>
    <row r="10" spans="1:14" ht="12.75" customHeight="1">
      <c r="A10" s="151" t="s">
        <v>1804</v>
      </c>
      <c r="B10" s="181" t="s">
        <v>1805</v>
      </c>
      <c r="C10" s="207" t="s">
        <v>596</v>
      </c>
      <c r="D10" s="179" t="s">
        <v>605</v>
      </c>
      <c r="E10" s="179"/>
      <c r="F10" s="179"/>
      <c r="G10" s="179"/>
      <c r="H10" s="255" t="s">
        <v>597</v>
      </c>
      <c r="I10" s="179"/>
      <c r="J10" s="179"/>
      <c r="K10" s="255" t="s">
        <v>597</v>
      </c>
      <c r="L10" s="179"/>
      <c r="M10" s="179"/>
      <c r="N10" s="252" t="s">
        <v>1076</v>
      </c>
    </row>
    <row r="11" spans="1:14" ht="12.75" customHeight="1">
      <c r="A11" s="152" t="s">
        <v>1807</v>
      </c>
      <c r="B11" s="181" t="s">
        <v>1808</v>
      </c>
      <c r="C11" s="207" t="s">
        <v>596</v>
      </c>
      <c r="D11" s="179" t="s">
        <v>605</v>
      </c>
      <c r="E11" s="179"/>
      <c r="F11" s="179"/>
      <c r="G11" s="179"/>
      <c r="H11" s="179"/>
      <c r="I11" s="255" t="s">
        <v>597</v>
      </c>
      <c r="J11" s="255" t="s">
        <v>597</v>
      </c>
      <c r="K11" s="179"/>
      <c r="L11" s="179"/>
      <c r="M11" s="179"/>
      <c r="N11" s="253" t="s">
        <v>1077</v>
      </c>
    </row>
    <row r="12" spans="1:14" ht="12.75" customHeight="1" thickBot="1">
      <c r="A12" s="153" t="s">
        <v>1809</v>
      </c>
      <c r="B12" s="181" t="s">
        <v>1810</v>
      </c>
      <c r="C12" s="209" t="s">
        <v>596</v>
      </c>
      <c r="D12" s="179" t="s">
        <v>606</v>
      </c>
      <c r="E12" s="179"/>
      <c r="F12" s="179"/>
      <c r="G12" s="179"/>
      <c r="H12" s="179"/>
      <c r="I12" s="255"/>
      <c r="J12" s="255"/>
      <c r="K12" s="255" t="s">
        <v>597</v>
      </c>
      <c r="L12" s="255" t="s">
        <v>597</v>
      </c>
      <c r="M12" s="179"/>
      <c r="N12" s="254" t="s">
        <v>1078</v>
      </c>
    </row>
    <row r="13" spans="1:14" ht="12.75" customHeight="1" thickTop="1">
      <c r="A13" s="320">
        <v>1109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</row>
    <row r="14" spans="1:14" ht="12.75" customHeight="1">
      <c r="A14" s="24">
        <v>11010</v>
      </c>
      <c r="B14" s="24">
        <v>12</v>
      </c>
      <c r="N14" s="24">
        <v>11010</v>
      </c>
    </row>
    <row r="15" spans="1:14" ht="12.75" customHeight="1">
      <c r="A15" s="24">
        <v>11011</v>
      </c>
      <c r="N15" s="24">
        <v>11011</v>
      </c>
    </row>
    <row r="16" spans="1:14" ht="12.75" customHeight="1" thickBot="1">
      <c r="A16" s="144" t="s">
        <v>435</v>
      </c>
      <c r="B16" s="61" t="s">
        <v>420</v>
      </c>
      <c r="C16" s="40"/>
      <c r="D16" s="36" t="s">
        <v>436</v>
      </c>
      <c r="E16" s="39" t="s">
        <v>449</v>
      </c>
      <c r="F16" s="40"/>
      <c r="G16" s="41" t="s">
        <v>455</v>
      </c>
      <c r="H16" s="61" t="s">
        <v>609</v>
      </c>
      <c r="I16" s="40"/>
      <c r="J16" s="41" t="s">
        <v>456</v>
      </c>
      <c r="K16" s="61" t="s">
        <v>1088</v>
      </c>
      <c r="L16" s="40"/>
      <c r="M16" s="40"/>
      <c r="N16" s="144" t="s">
        <v>435</v>
      </c>
    </row>
    <row r="17" spans="1:14" ht="12.75" customHeight="1" thickTop="1">
      <c r="A17" s="26" t="s">
        <v>457</v>
      </c>
      <c r="B17" s="43" t="s">
        <v>458</v>
      </c>
      <c r="C17" s="44" t="s">
        <v>459</v>
      </c>
      <c r="D17" s="45" t="s">
        <v>440</v>
      </c>
      <c r="E17" s="46" t="s">
        <v>461</v>
      </c>
      <c r="F17" s="46" t="s">
        <v>462</v>
      </c>
      <c r="G17" s="46" t="s">
        <v>463</v>
      </c>
      <c r="H17" s="46" t="s">
        <v>464</v>
      </c>
      <c r="I17" s="46" t="s">
        <v>467</v>
      </c>
      <c r="J17" s="46" t="s">
        <v>466</v>
      </c>
      <c r="K17" s="46" t="s">
        <v>447</v>
      </c>
      <c r="L17" s="46" t="s">
        <v>469</v>
      </c>
      <c r="M17" s="47" t="s">
        <v>442</v>
      </c>
      <c r="N17" s="145" t="s">
        <v>439</v>
      </c>
    </row>
    <row r="18" spans="1:14" ht="12.75" customHeight="1">
      <c r="A18" s="97" t="s">
        <v>1815</v>
      </c>
      <c r="B18" s="181" t="s">
        <v>1816</v>
      </c>
      <c r="C18" s="180" t="s">
        <v>595</v>
      </c>
      <c r="D18" s="179" t="s">
        <v>607</v>
      </c>
      <c r="E18" s="255" t="s">
        <v>597</v>
      </c>
      <c r="F18" s="255" t="s">
        <v>597</v>
      </c>
      <c r="G18" s="179"/>
      <c r="H18" s="179"/>
      <c r="I18" s="179"/>
      <c r="J18" s="204"/>
      <c r="K18" s="179"/>
      <c r="L18" s="183"/>
      <c r="M18" s="181"/>
      <c r="N18" s="250" t="s">
        <v>1080</v>
      </c>
    </row>
    <row r="19" spans="1:14" ht="12.75" customHeight="1">
      <c r="A19" s="97" t="s">
        <v>1818</v>
      </c>
      <c r="B19" s="179" t="s">
        <v>1819</v>
      </c>
      <c r="C19" s="199" t="s">
        <v>595</v>
      </c>
      <c r="D19" s="182" t="s">
        <v>605</v>
      </c>
      <c r="E19" s="179"/>
      <c r="F19" s="179"/>
      <c r="G19" s="255" t="s">
        <v>597</v>
      </c>
      <c r="H19" s="255" t="s">
        <v>597</v>
      </c>
      <c r="I19" s="179"/>
      <c r="J19" s="179"/>
      <c r="K19" s="179"/>
      <c r="L19" s="183"/>
      <c r="M19" s="181"/>
      <c r="N19" s="251" t="s">
        <v>1081</v>
      </c>
    </row>
    <row r="20" spans="1:14" ht="12.75" customHeight="1">
      <c r="A20" s="97" t="s">
        <v>1820</v>
      </c>
      <c r="B20" s="181" t="s">
        <v>1821</v>
      </c>
      <c r="C20" s="180" t="s">
        <v>595</v>
      </c>
      <c r="D20" s="179" t="s">
        <v>1079</v>
      </c>
      <c r="E20" s="179"/>
      <c r="F20" s="179"/>
      <c r="G20" s="179"/>
      <c r="H20" s="179"/>
      <c r="I20" s="179"/>
      <c r="J20" s="179"/>
      <c r="K20" s="255" t="s">
        <v>597</v>
      </c>
      <c r="L20" s="255" t="s">
        <v>597</v>
      </c>
      <c r="M20" s="181"/>
      <c r="N20" s="256" t="s">
        <v>1082</v>
      </c>
    </row>
    <row r="21" spans="1:14" ht="12.75" customHeight="1" thickBot="1">
      <c r="A21" s="99" t="s">
        <v>1822</v>
      </c>
      <c r="B21" s="181" t="s">
        <v>1823</v>
      </c>
      <c r="C21" s="207" t="s">
        <v>595</v>
      </c>
      <c r="D21" s="179" t="s">
        <v>605</v>
      </c>
      <c r="E21" s="179"/>
      <c r="F21" s="179"/>
      <c r="G21" s="179"/>
      <c r="H21" s="179"/>
      <c r="I21" s="255" t="s">
        <v>597</v>
      </c>
      <c r="J21" s="255" t="s">
        <v>597</v>
      </c>
      <c r="K21" s="255"/>
      <c r="L21" s="255"/>
      <c r="M21" s="182"/>
      <c r="N21" s="252" t="s">
        <v>1083</v>
      </c>
    </row>
    <row r="22" spans="1:14" ht="12.75" customHeight="1" thickTop="1">
      <c r="A22" s="146" t="s">
        <v>1824</v>
      </c>
      <c r="B22" s="179" t="s">
        <v>1825</v>
      </c>
      <c r="C22" s="199" t="s">
        <v>596</v>
      </c>
      <c r="D22" s="179" t="s">
        <v>1079</v>
      </c>
      <c r="E22" s="255" t="s">
        <v>597</v>
      </c>
      <c r="F22" s="255" t="s">
        <v>597</v>
      </c>
      <c r="G22" s="179"/>
      <c r="H22" s="179"/>
      <c r="I22" s="179"/>
      <c r="J22" s="179"/>
      <c r="K22" s="179"/>
      <c r="L22" s="179"/>
      <c r="M22" s="182"/>
      <c r="N22" s="257" t="s">
        <v>1084</v>
      </c>
    </row>
    <row r="23" spans="1:14" ht="12.75" customHeight="1">
      <c r="A23" s="97" t="s">
        <v>1826</v>
      </c>
      <c r="B23" s="179" t="s">
        <v>1827</v>
      </c>
      <c r="C23" s="199" t="s">
        <v>596</v>
      </c>
      <c r="D23" s="179" t="s">
        <v>605</v>
      </c>
      <c r="E23" s="179"/>
      <c r="F23" s="179"/>
      <c r="G23" s="179"/>
      <c r="H23" s="179"/>
      <c r="I23" s="255" t="s">
        <v>597</v>
      </c>
      <c r="J23" s="255" t="s">
        <v>597</v>
      </c>
      <c r="K23" s="179"/>
      <c r="L23" s="179"/>
      <c r="M23" s="182"/>
      <c r="N23" s="258" t="s">
        <v>1085</v>
      </c>
    </row>
    <row r="24" spans="1:14" ht="12.75" customHeight="1">
      <c r="A24" s="147" t="s">
        <v>1828</v>
      </c>
      <c r="B24" s="179" t="s">
        <v>1829</v>
      </c>
      <c r="C24" s="207" t="s">
        <v>596</v>
      </c>
      <c r="D24" s="179" t="s">
        <v>607</v>
      </c>
      <c r="E24" s="179"/>
      <c r="F24" s="179"/>
      <c r="G24" s="179"/>
      <c r="H24" s="179"/>
      <c r="I24" s="179"/>
      <c r="J24" s="179"/>
      <c r="K24" s="255" t="s">
        <v>597</v>
      </c>
      <c r="L24" s="255" t="s">
        <v>597</v>
      </c>
      <c r="M24" s="182"/>
      <c r="N24" s="258" t="s">
        <v>1086</v>
      </c>
    </row>
    <row r="25" spans="1:14" ht="12.75" customHeight="1" thickBot="1">
      <c r="A25" s="147" t="s">
        <v>1830</v>
      </c>
      <c r="B25" s="188" t="s">
        <v>1831</v>
      </c>
      <c r="C25" s="209" t="s">
        <v>596</v>
      </c>
      <c r="D25" s="179" t="s">
        <v>607</v>
      </c>
      <c r="E25" s="179"/>
      <c r="F25" s="179"/>
      <c r="G25" s="255" t="s">
        <v>597</v>
      </c>
      <c r="H25" s="255" t="s">
        <v>597</v>
      </c>
      <c r="I25" s="179"/>
      <c r="J25" s="179"/>
      <c r="K25" s="255"/>
      <c r="L25" s="255"/>
      <c r="M25" s="206"/>
      <c r="N25" s="254" t="s">
        <v>1087</v>
      </c>
    </row>
    <row r="26" spans="1:14" ht="12.75" customHeight="1" thickTop="1">
      <c r="A26" s="320">
        <v>1119</v>
      </c>
      <c r="B26" s="320"/>
      <c r="C26" s="320"/>
      <c r="D26" s="320"/>
      <c r="E26" s="320"/>
      <c r="F26" s="320"/>
      <c r="G26" s="320"/>
      <c r="H26" s="320"/>
      <c r="I26" s="320"/>
      <c r="J26" s="320"/>
      <c r="K26" s="320"/>
      <c r="L26" s="320"/>
      <c r="M26" s="320"/>
      <c r="N26" s="320"/>
    </row>
    <row r="27" spans="1:14" ht="12.75" customHeight="1">
      <c r="A27" s="24">
        <v>11110</v>
      </c>
      <c r="B27" s="24">
        <v>13</v>
      </c>
      <c r="N27" s="24">
        <v>11110</v>
      </c>
    </row>
    <row r="28" spans="1:14" ht="12.75" customHeight="1">
      <c r="A28" s="24">
        <v>11111</v>
      </c>
      <c r="N28" s="24">
        <v>11111</v>
      </c>
    </row>
    <row r="29" spans="1:14" ht="12.75" customHeight="1">
      <c r="A29" s="29">
        <v>11112</v>
      </c>
      <c r="B29" s="29" t="s">
        <v>414</v>
      </c>
      <c r="D29" s="24" t="s">
        <v>401</v>
      </c>
      <c r="G29" s="29" t="s">
        <v>471</v>
      </c>
      <c r="H29" s="29" t="s">
        <v>1099</v>
      </c>
      <c r="J29" s="29" t="s">
        <v>472</v>
      </c>
      <c r="K29" s="24" t="s">
        <v>1100</v>
      </c>
      <c r="N29" s="29">
        <v>11112</v>
      </c>
    </row>
    <row r="30" spans="1:14" ht="11.25" customHeight="1">
      <c r="A30" s="26" t="s">
        <v>457</v>
      </c>
      <c r="B30" s="30" t="s">
        <v>458</v>
      </c>
      <c r="C30" s="27" t="s">
        <v>459</v>
      </c>
      <c r="D30" s="30" t="s">
        <v>402</v>
      </c>
      <c r="E30" s="31" t="s">
        <v>461</v>
      </c>
      <c r="F30" s="31" t="s">
        <v>462</v>
      </c>
      <c r="G30" s="31" t="s">
        <v>463</v>
      </c>
      <c r="H30" s="31" t="s">
        <v>464</v>
      </c>
      <c r="I30" s="31" t="s">
        <v>409</v>
      </c>
      <c r="J30" s="31" t="s">
        <v>466</v>
      </c>
      <c r="K30" s="31" t="s">
        <v>454</v>
      </c>
      <c r="L30" s="31" t="s">
        <v>410</v>
      </c>
      <c r="M30" s="31" t="s">
        <v>495</v>
      </c>
      <c r="N30" s="26" t="s">
        <v>403</v>
      </c>
    </row>
    <row r="31" spans="1:14" ht="11.25" customHeight="1">
      <c r="A31" s="30">
        <v>1131</v>
      </c>
      <c r="B31" s="199" t="s">
        <v>1836</v>
      </c>
      <c r="C31" s="180" t="s">
        <v>595</v>
      </c>
      <c r="D31" s="200" t="s">
        <v>1096</v>
      </c>
      <c r="E31" s="199" t="s">
        <v>597</v>
      </c>
      <c r="F31" s="199" t="s">
        <v>597</v>
      </c>
      <c r="G31" s="199"/>
      <c r="H31" s="199"/>
      <c r="I31" s="199"/>
      <c r="J31" s="199"/>
      <c r="K31" s="199"/>
      <c r="L31" s="207"/>
      <c r="M31" s="181"/>
      <c r="N31" s="259" t="s">
        <v>1089</v>
      </c>
    </row>
    <row r="32" spans="1:14" ht="11.25" customHeight="1">
      <c r="A32" s="30">
        <v>1132</v>
      </c>
      <c r="B32" s="199" t="s">
        <v>1837</v>
      </c>
      <c r="C32" s="180" t="s">
        <v>595</v>
      </c>
      <c r="D32" s="200" t="s">
        <v>1097</v>
      </c>
      <c r="E32" s="199"/>
      <c r="F32" s="199"/>
      <c r="G32" s="199" t="s">
        <v>597</v>
      </c>
      <c r="H32" s="199" t="s">
        <v>597</v>
      </c>
      <c r="I32" s="199"/>
      <c r="J32" s="199"/>
      <c r="K32" s="199"/>
      <c r="L32" s="207"/>
      <c r="M32" s="181"/>
      <c r="N32" s="259" t="s">
        <v>1090</v>
      </c>
    </row>
    <row r="33" spans="1:14" ht="11.25" customHeight="1">
      <c r="A33" s="30">
        <v>1133</v>
      </c>
      <c r="B33" s="199" t="s">
        <v>1838</v>
      </c>
      <c r="C33" s="180" t="s">
        <v>595</v>
      </c>
      <c r="D33" s="200" t="s">
        <v>612</v>
      </c>
      <c r="E33" s="199"/>
      <c r="F33" s="199"/>
      <c r="G33" s="199"/>
      <c r="H33" s="199"/>
      <c r="I33" s="199" t="s">
        <v>597</v>
      </c>
      <c r="J33" s="199" t="s">
        <v>597</v>
      </c>
      <c r="K33" s="199"/>
      <c r="L33" s="207"/>
      <c r="M33" s="181"/>
      <c r="N33" s="259" t="s">
        <v>614</v>
      </c>
    </row>
    <row r="34" spans="1:14" ht="11.25" customHeight="1" thickBot="1">
      <c r="A34" s="30">
        <v>1134</v>
      </c>
      <c r="B34" s="202" t="s">
        <v>1839</v>
      </c>
      <c r="C34" s="189" t="s">
        <v>595</v>
      </c>
      <c r="D34" s="200" t="s">
        <v>1098</v>
      </c>
      <c r="E34" s="199"/>
      <c r="F34" s="199"/>
      <c r="G34" s="199"/>
      <c r="H34" s="199"/>
      <c r="I34" s="199"/>
      <c r="J34" s="199"/>
      <c r="K34" s="199" t="s">
        <v>597</v>
      </c>
      <c r="L34" s="207" t="s">
        <v>597</v>
      </c>
      <c r="M34" s="181"/>
      <c r="N34" s="260" t="s">
        <v>1091</v>
      </c>
    </row>
    <row r="35" spans="1:14" ht="11.25" customHeight="1" thickTop="1">
      <c r="A35" s="30">
        <v>1135</v>
      </c>
      <c r="B35" s="203" t="s">
        <v>1840</v>
      </c>
      <c r="C35" s="186" t="s">
        <v>596</v>
      </c>
      <c r="D35" s="211" t="s">
        <v>1096</v>
      </c>
      <c r="E35" s="203" t="s">
        <v>597</v>
      </c>
      <c r="F35" s="203" t="s">
        <v>597</v>
      </c>
      <c r="G35" s="203"/>
      <c r="H35" s="203"/>
      <c r="I35" s="203"/>
      <c r="J35" s="203"/>
      <c r="K35" s="203"/>
      <c r="L35" s="208"/>
      <c r="M35" s="181"/>
      <c r="N35" s="261" t="s">
        <v>1092</v>
      </c>
    </row>
    <row r="36" spans="1:14" ht="11.25" customHeight="1">
      <c r="A36" s="30">
        <v>1136</v>
      </c>
      <c r="B36" s="199" t="s">
        <v>1841</v>
      </c>
      <c r="C36" s="180" t="s">
        <v>596</v>
      </c>
      <c r="D36" s="200" t="s">
        <v>1097</v>
      </c>
      <c r="E36" s="199"/>
      <c r="F36" s="199"/>
      <c r="G36" s="199" t="s">
        <v>597</v>
      </c>
      <c r="H36" s="199"/>
      <c r="I36" s="199"/>
      <c r="J36" s="199"/>
      <c r="K36" s="199" t="s">
        <v>597</v>
      </c>
      <c r="L36" s="207"/>
      <c r="M36" s="181"/>
      <c r="N36" s="259" t="s">
        <v>1093</v>
      </c>
    </row>
    <row r="37" spans="1:14" ht="11.25" customHeight="1">
      <c r="A37" s="30">
        <v>1137</v>
      </c>
      <c r="B37" s="199" t="s">
        <v>1842</v>
      </c>
      <c r="C37" s="180" t="s">
        <v>596</v>
      </c>
      <c r="D37" s="200" t="s">
        <v>1097</v>
      </c>
      <c r="E37" s="199"/>
      <c r="F37" s="199"/>
      <c r="G37" s="199"/>
      <c r="H37" s="199" t="s">
        <v>597</v>
      </c>
      <c r="I37" s="199"/>
      <c r="J37" s="199"/>
      <c r="K37" s="199"/>
      <c r="L37" s="199" t="s">
        <v>597</v>
      </c>
      <c r="M37" s="181"/>
      <c r="N37" s="259" t="s">
        <v>1094</v>
      </c>
    </row>
    <row r="38" spans="1:14" ht="11.25" customHeight="1" thickBot="1">
      <c r="A38" s="30">
        <v>1138</v>
      </c>
      <c r="B38" s="202" t="s">
        <v>1843</v>
      </c>
      <c r="C38" s="189" t="s">
        <v>596</v>
      </c>
      <c r="D38" s="213" t="s">
        <v>612</v>
      </c>
      <c r="E38" s="202"/>
      <c r="F38" s="202"/>
      <c r="G38" s="202"/>
      <c r="H38" s="202"/>
      <c r="I38" s="202" t="s">
        <v>597</v>
      </c>
      <c r="J38" s="202" t="s">
        <v>597</v>
      </c>
      <c r="K38" s="202"/>
      <c r="L38" s="209"/>
      <c r="M38" s="194"/>
      <c r="N38" s="260" t="s">
        <v>1095</v>
      </c>
    </row>
    <row r="39" spans="1:14" ht="11.25" customHeight="1" thickTop="1">
      <c r="A39" s="320">
        <v>1129</v>
      </c>
      <c r="B39" s="320"/>
      <c r="C39" s="320"/>
      <c r="D39" s="320"/>
      <c r="E39" s="320"/>
      <c r="F39" s="320"/>
      <c r="G39" s="320"/>
      <c r="H39" s="320"/>
      <c r="I39" s="320"/>
      <c r="J39" s="320"/>
      <c r="K39" s="320"/>
      <c r="L39" s="320"/>
      <c r="M39" s="320"/>
      <c r="N39" s="320"/>
    </row>
    <row r="40" spans="1:14" ht="11.25" customHeight="1">
      <c r="A40" s="24">
        <v>11210</v>
      </c>
      <c r="B40" s="24">
        <v>14</v>
      </c>
      <c r="N40" s="24">
        <v>11210</v>
      </c>
    </row>
    <row r="41" spans="1:14" ht="11.25" customHeight="1">
      <c r="A41" s="24">
        <v>11211</v>
      </c>
      <c r="N41" s="24">
        <v>11211</v>
      </c>
    </row>
    <row r="42" spans="1:14" ht="11.25" customHeight="1">
      <c r="A42" s="29">
        <v>11212</v>
      </c>
      <c r="B42" s="29" t="s">
        <v>415</v>
      </c>
      <c r="D42" s="24" t="s">
        <v>615</v>
      </c>
      <c r="E42" s="24" t="s">
        <v>616</v>
      </c>
      <c r="G42" s="29" t="s">
        <v>471</v>
      </c>
      <c r="H42" s="29" t="s">
        <v>1109</v>
      </c>
      <c r="J42" s="29" t="s">
        <v>472</v>
      </c>
      <c r="K42" s="24" t="s">
        <v>1110</v>
      </c>
      <c r="N42" s="29">
        <v>11212</v>
      </c>
    </row>
    <row r="43" spans="1:14" ht="11.25" customHeight="1">
      <c r="A43" s="26" t="s">
        <v>457</v>
      </c>
      <c r="B43" s="30" t="s">
        <v>458</v>
      </c>
      <c r="C43" s="27" t="s">
        <v>459</v>
      </c>
      <c r="D43" s="30" t="s">
        <v>404</v>
      </c>
      <c r="E43" s="31" t="s">
        <v>461</v>
      </c>
      <c r="F43" s="31" t="s">
        <v>462</v>
      </c>
      <c r="G43" s="31" t="s">
        <v>463</v>
      </c>
      <c r="H43" s="31" t="s">
        <v>464</v>
      </c>
      <c r="I43" s="31" t="s">
        <v>406</v>
      </c>
      <c r="J43" s="31" t="s">
        <v>466</v>
      </c>
      <c r="K43" s="31" t="s">
        <v>454</v>
      </c>
      <c r="L43" s="31" t="s">
        <v>410</v>
      </c>
      <c r="M43" s="31" t="s">
        <v>495</v>
      </c>
      <c r="N43" s="30" t="s">
        <v>405</v>
      </c>
    </row>
    <row r="44" spans="1:14" ht="11.25" customHeight="1" thickBot="1">
      <c r="A44" s="30">
        <v>1141</v>
      </c>
      <c r="B44" s="199" t="s">
        <v>1848</v>
      </c>
      <c r="C44" s="180" t="s">
        <v>595</v>
      </c>
      <c r="D44" s="200" t="s">
        <v>1098</v>
      </c>
      <c r="E44" s="202" t="s">
        <v>597</v>
      </c>
      <c r="F44" s="202" t="s">
        <v>597</v>
      </c>
      <c r="G44" s="179"/>
      <c r="H44" s="179"/>
      <c r="I44" s="179"/>
      <c r="J44" s="179"/>
      <c r="K44" s="179"/>
      <c r="L44" s="183"/>
      <c r="M44" s="181"/>
      <c r="N44" s="259" t="s">
        <v>1101</v>
      </c>
    </row>
    <row r="45" spans="1:14" ht="11.25" customHeight="1" thickTop="1" thickBot="1">
      <c r="A45" s="30">
        <v>1142</v>
      </c>
      <c r="B45" s="199" t="s">
        <v>1849</v>
      </c>
      <c r="C45" s="180" t="s">
        <v>595</v>
      </c>
      <c r="D45" s="200" t="s">
        <v>1097</v>
      </c>
      <c r="E45" s="179"/>
      <c r="F45" s="179"/>
      <c r="G45" s="202" t="s">
        <v>597</v>
      </c>
      <c r="H45" s="202" t="s">
        <v>597</v>
      </c>
      <c r="I45" s="179"/>
      <c r="J45" s="179"/>
      <c r="K45" s="179"/>
      <c r="L45" s="183"/>
      <c r="M45" s="181"/>
      <c r="N45" s="259" t="s">
        <v>1102</v>
      </c>
    </row>
    <row r="46" spans="1:14" ht="11.25" customHeight="1" thickTop="1" thickBot="1">
      <c r="A46" s="30">
        <v>1143</v>
      </c>
      <c r="B46" s="199" t="s">
        <v>1850</v>
      </c>
      <c r="C46" s="180" t="s">
        <v>595</v>
      </c>
      <c r="D46" s="200" t="s">
        <v>1098</v>
      </c>
      <c r="E46" s="179"/>
      <c r="F46" s="179"/>
      <c r="G46" s="179"/>
      <c r="H46" s="179"/>
      <c r="I46" s="202" t="s">
        <v>597</v>
      </c>
      <c r="J46" s="202" t="s">
        <v>597</v>
      </c>
      <c r="K46" s="179"/>
      <c r="L46" s="183"/>
      <c r="M46" s="181"/>
      <c r="N46" s="259" t="s">
        <v>1103</v>
      </c>
    </row>
    <row r="47" spans="1:14" ht="11.25" customHeight="1" thickTop="1" thickBot="1">
      <c r="A47" s="30">
        <v>1144</v>
      </c>
      <c r="B47" s="199" t="s">
        <v>1851</v>
      </c>
      <c r="C47" s="180" t="s">
        <v>595</v>
      </c>
      <c r="D47" s="200" t="s">
        <v>1098</v>
      </c>
      <c r="E47" s="179"/>
      <c r="F47" s="179"/>
      <c r="G47" s="179"/>
      <c r="H47" s="179"/>
      <c r="I47" s="179"/>
      <c r="J47" s="179"/>
      <c r="K47" s="202" t="s">
        <v>597</v>
      </c>
      <c r="L47" s="202" t="s">
        <v>597</v>
      </c>
      <c r="M47" s="181"/>
      <c r="N47" s="259" t="s">
        <v>1104</v>
      </c>
    </row>
    <row r="48" spans="1:14" ht="11.25" customHeight="1" thickTop="1" thickBot="1">
      <c r="A48" s="30">
        <v>1145</v>
      </c>
      <c r="B48" s="203" t="s">
        <v>1852</v>
      </c>
      <c r="C48" s="186" t="s">
        <v>596</v>
      </c>
      <c r="D48" s="211" t="s">
        <v>1096</v>
      </c>
      <c r="E48" s="202" t="s">
        <v>597</v>
      </c>
      <c r="F48" s="202" t="s">
        <v>597</v>
      </c>
      <c r="G48" s="185"/>
      <c r="H48" s="185"/>
      <c r="I48" s="185"/>
      <c r="J48" s="185"/>
      <c r="K48" s="185"/>
      <c r="L48" s="187"/>
      <c r="M48" s="181"/>
      <c r="N48" s="262" t="s">
        <v>1105</v>
      </c>
    </row>
    <row r="49" spans="1:14" ht="11.25" customHeight="1" thickTop="1" thickBot="1">
      <c r="A49" s="30">
        <v>1146</v>
      </c>
      <c r="B49" s="199" t="s">
        <v>1853</v>
      </c>
      <c r="C49" s="180" t="s">
        <v>596</v>
      </c>
      <c r="D49" s="200" t="s">
        <v>1097</v>
      </c>
      <c r="E49" s="179"/>
      <c r="F49" s="179"/>
      <c r="G49" s="202" t="s">
        <v>597</v>
      </c>
      <c r="H49" s="202" t="s">
        <v>597</v>
      </c>
      <c r="I49" s="179"/>
      <c r="J49" s="179"/>
      <c r="K49" s="179"/>
      <c r="L49" s="183"/>
      <c r="M49" s="181"/>
      <c r="N49" s="210" t="s">
        <v>1106</v>
      </c>
    </row>
    <row r="50" spans="1:14" ht="11.25" customHeight="1" thickTop="1" thickBot="1">
      <c r="A50" s="30">
        <v>1147</v>
      </c>
      <c r="B50" s="199" t="s">
        <v>1854</v>
      </c>
      <c r="C50" s="180" t="s">
        <v>596</v>
      </c>
      <c r="D50" s="200" t="s">
        <v>612</v>
      </c>
      <c r="E50" s="179"/>
      <c r="F50" s="179"/>
      <c r="G50" s="179"/>
      <c r="H50" s="179"/>
      <c r="I50" s="202" t="s">
        <v>597</v>
      </c>
      <c r="J50" s="202" t="s">
        <v>597</v>
      </c>
      <c r="K50" s="179"/>
      <c r="L50" s="183"/>
      <c r="M50" s="181"/>
      <c r="N50" s="259" t="s">
        <v>1107</v>
      </c>
    </row>
    <row r="51" spans="1:14" ht="11.25" customHeight="1" thickTop="1" thickBot="1">
      <c r="A51" s="30">
        <v>1148</v>
      </c>
      <c r="B51" s="202" t="s">
        <v>1855</v>
      </c>
      <c r="C51" s="189" t="s">
        <v>596</v>
      </c>
      <c r="D51" s="213" t="s">
        <v>1098</v>
      </c>
      <c r="E51" s="188"/>
      <c r="F51" s="188"/>
      <c r="G51" s="188"/>
      <c r="H51" s="188"/>
      <c r="I51" s="188"/>
      <c r="J51" s="188"/>
      <c r="K51" s="202" t="s">
        <v>597</v>
      </c>
      <c r="L51" s="202" t="s">
        <v>597</v>
      </c>
      <c r="M51" s="194"/>
      <c r="N51" s="260" t="s">
        <v>1108</v>
      </c>
    </row>
    <row r="52" spans="1:14" s="22" customFormat="1" ht="11.25" customHeight="1" thickTop="1">
      <c r="A52" s="33"/>
      <c r="B52" s="33"/>
      <c r="C52" s="33"/>
      <c r="D52" s="34"/>
      <c r="E52" s="33"/>
      <c r="F52" s="33"/>
      <c r="G52" s="33"/>
      <c r="H52" s="33"/>
      <c r="I52" s="33"/>
      <c r="J52" s="33"/>
      <c r="K52" s="33"/>
      <c r="L52" s="33"/>
      <c r="M52" s="33"/>
      <c r="N52" s="33"/>
    </row>
    <row r="53" spans="1:14" ht="12.75" customHeight="1">
      <c r="A53" s="24">
        <v>11310</v>
      </c>
      <c r="B53" s="24">
        <v>30</v>
      </c>
      <c r="N53" s="24">
        <v>11310</v>
      </c>
    </row>
    <row r="54" spans="1:14" ht="12.75" customHeight="1">
      <c r="A54" s="24">
        <v>11311</v>
      </c>
      <c r="N54" s="24">
        <v>11311</v>
      </c>
    </row>
    <row r="55" spans="1:14" ht="12.75" customHeight="1" thickBot="1">
      <c r="A55" s="36" t="s">
        <v>430</v>
      </c>
      <c r="B55" s="61" t="s">
        <v>121</v>
      </c>
      <c r="C55" s="40"/>
      <c r="D55" s="36" t="s">
        <v>436</v>
      </c>
      <c r="E55" s="39" t="s">
        <v>449</v>
      </c>
      <c r="F55" s="40"/>
      <c r="G55" s="41" t="s">
        <v>455</v>
      </c>
      <c r="H55" s="61" t="s">
        <v>119</v>
      </c>
      <c r="I55" s="40"/>
      <c r="J55" s="41" t="s">
        <v>456</v>
      </c>
      <c r="K55" s="61" t="s">
        <v>1121</v>
      </c>
      <c r="L55" s="40"/>
      <c r="M55" s="40"/>
      <c r="N55" s="36" t="s">
        <v>435</v>
      </c>
    </row>
    <row r="56" spans="1:14" ht="12.75" customHeight="1" thickTop="1">
      <c r="A56" s="26" t="s">
        <v>457</v>
      </c>
      <c r="B56" s="43" t="s">
        <v>458</v>
      </c>
      <c r="C56" s="44" t="s">
        <v>459</v>
      </c>
      <c r="D56" s="45" t="s">
        <v>440</v>
      </c>
      <c r="E56" s="46" t="s">
        <v>461</v>
      </c>
      <c r="F56" s="46" t="s">
        <v>462</v>
      </c>
      <c r="G56" s="46" t="s">
        <v>463</v>
      </c>
      <c r="H56" s="46" t="s">
        <v>464</v>
      </c>
      <c r="I56" s="46" t="s">
        <v>467</v>
      </c>
      <c r="J56" s="46" t="s">
        <v>466</v>
      </c>
      <c r="K56" s="46" t="s">
        <v>447</v>
      </c>
      <c r="L56" s="46" t="s">
        <v>469</v>
      </c>
      <c r="M56" s="47" t="s">
        <v>442</v>
      </c>
      <c r="N56" s="42" t="s">
        <v>439</v>
      </c>
    </row>
    <row r="57" spans="1:14" ht="12.75" customHeight="1">
      <c r="A57" s="48">
        <v>1301</v>
      </c>
      <c r="B57" s="264" t="s">
        <v>1860</v>
      </c>
      <c r="C57" s="180" t="s">
        <v>595</v>
      </c>
      <c r="D57" s="182" t="s">
        <v>1119</v>
      </c>
      <c r="E57" s="265" t="s">
        <v>597</v>
      </c>
      <c r="F57" s="179" t="s">
        <v>597</v>
      </c>
      <c r="G57" s="179"/>
      <c r="H57" s="179"/>
      <c r="I57" s="179"/>
      <c r="J57" s="179"/>
      <c r="K57" s="179"/>
      <c r="L57" s="183"/>
      <c r="M57" s="143"/>
      <c r="N57" s="263" t="s">
        <v>1111</v>
      </c>
    </row>
    <row r="58" spans="1:14" ht="12.75" customHeight="1">
      <c r="A58" s="48">
        <v>1302</v>
      </c>
      <c r="B58" s="264" t="s">
        <v>1861</v>
      </c>
      <c r="C58" s="180" t="s">
        <v>595</v>
      </c>
      <c r="D58" s="182" t="s">
        <v>1120</v>
      </c>
      <c r="E58" s="179"/>
      <c r="F58" s="179"/>
      <c r="G58" s="179"/>
      <c r="H58" s="179"/>
      <c r="I58" s="179" t="s">
        <v>597</v>
      </c>
      <c r="J58" s="179"/>
      <c r="K58" s="179"/>
      <c r="L58" s="183" t="s">
        <v>597</v>
      </c>
      <c r="M58" s="92"/>
      <c r="N58" s="263" t="s">
        <v>1112</v>
      </c>
    </row>
    <row r="59" spans="1:14" ht="12.75" customHeight="1">
      <c r="A59" s="48">
        <v>1303</v>
      </c>
      <c r="B59" s="264" t="s">
        <v>1862</v>
      </c>
      <c r="C59" s="180" t="s">
        <v>595</v>
      </c>
      <c r="D59" s="182" t="s">
        <v>1120</v>
      </c>
      <c r="E59" s="179"/>
      <c r="F59" s="179"/>
      <c r="G59" s="179" t="s">
        <v>597</v>
      </c>
      <c r="H59" s="179" t="s">
        <v>597</v>
      </c>
      <c r="I59" s="179"/>
      <c r="J59" s="179"/>
      <c r="K59" s="179"/>
      <c r="L59" s="183"/>
      <c r="M59" s="143"/>
      <c r="N59" s="264" t="s">
        <v>1113</v>
      </c>
    </row>
    <row r="60" spans="1:14" ht="12.75" customHeight="1" thickBot="1">
      <c r="A60" s="52">
        <v>1304</v>
      </c>
      <c r="B60" s="264" t="s">
        <v>1863</v>
      </c>
      <c r="C60" s="189" t="s">
        <v>595</v>
      </c>
      <c r="D60" s="182" t="s">
        <v>1119</v>
      </c>
      <c r="E60" s="179"/>
      <c r="F60" s="179"/>
      <c r="G60" s="179"/>
      <c r="H60" s="179"/>
      <c r="I60" s="179"/>
      <c r="J60" s="179" t="s">
        <v>597</v>
      </c>
      <c r="K60" s="179" t="s">
        <v>597</v>
      </c>
      <c r="L60" s="183"/>
      <c r="M60" s="92"/>
      <c r="N60" s="263" t="s">
        <v>1114</v>
      </c>
    </row>
    <row r="61" spans="1:14" ht="12.75" customHeight="1" thickTop="1">
      <c r="A61" s="54">
        <v>1305</v>
      </c>
      <c r="B61" s="264" t="s">
        <v>1864</v>
      </c>
      <c r="C61" s="186" t="s">
        <v>596</v>
      </c>
      <c r="D61" s="182" t="s">
        <v>1119</v>
      </c>
      <c r="E61" s="185"/>
      <c r="F61" s="185"/>
      <c r="G61" s="185"/>
      <c r="H61" s="185"/>
      <c r="I61" s="185"/>
      <c r="J61" s="185"/>
      <c r="K61" s="185" t="s">
        <v>597</v>
      </c>
      <c r="L61" s="187" t="s">
        <v>597</v>
      </c>
      <c r="M61" s="143"/>
      <c r="N61" s="264" t="s">
        <v>1115</v>
      </c>
    </row>
    <row r="62" spans="1:14" ht="12.75" customHeight="1">
      <c r="A62" s="48">
        <v>1306</v>
      </c>
      <c r="B62" s="264" t="s">
        <v>1865</v>
      </c>
      <c r="C62" s="180" t="s">
        <v>596</v>
      </c>
      <c r="D62" s="182" t="s">
        <v>1120</v>
      </c>
      <c r="E62" s="179"/>
      <c r="F62" s="179"/>
      <c r="G62" s="179"/>
      <c r="H62" s="179"/>
      <c r="I62" s="179" t="s">
        <v>597</v>
      </c>
      <c r="J62" s="179" t="s">
        <v>597</v>
      </c>
      <c r="K62" s="179"/>
      <c r="L62" s="183"/>
      <c r="M62" s="143"/>
      <c r="N62" s="263" t="s">
        <v>1116</v>
      </c>
    </row>
    <row r="63" spans="1:14" ht="12.75" customHeight="1">
      <c r="A63" s="48">
        <v>1307</v>
      </c>
      <c r="B63" s="264" t="s">
        <v>1866</v>
      </c>
      <c r="C63" s="180" t="s">
        <v>596</v>
      </c>
      <c r="D63" s="182" t="s">
        <v>1120</v>
      </c>
      <c r="E63" s="179"/>
      <c r="F63" s="179"/>
      <c r="G63" s="179" t="s">
        <v>597</v>
      </c>
      <c r="H63" s="179" t="s">
        <v>597</v>
      </c>
      <c r="I63" s="179"/>
      <c r="J63" s="179"/>
      <c r="K63" s="179"/>
      <c r="L63" s="183"/>
      <c r="M63" s="92"/>
      <c r="N63" s="263" t="s">
        <v>1117</v>
      </c>
    </row>
    <row r="64" spans="1:14" ht="12.75" customHeight="1" thickBot="1">
      <c r="A64" s="52">
        <v>1308</v>
      </c>
      <c r="B64" s="264" t="s">
        <v>1867</v>
      </c>
      <c r="C64" s="189" t="s">
        <v>596</v>
      </c>
      <c r="D64" s="182" t="s">
        <v>1119</v>
      </c>
      <c r="E64" s="188" t="s">
        <v>597</v>
      </c>
      <c r="F64" s="188" t="s">
        <v>597</v>
      </c>
      <c r="G64" s="188"/>
      <c r="H64" s="188"/>
      <c r="I64" s="188"/>
      <c r="J64" s="188"/>
      <c r="K64" s="188"/>
      <c r="L64" s="205"/>
      <c r="M64" s="108"/>
      <c r="N64" s="263" t="s">
        <v>1118</v>
      </c>
    </row>
    <row r="65" spans="1:14" ht="12.75" customHeight="1" thickTop="1">
      <c r="A65" s="24">
        <v>1149</v>
      </c>
      <c r="N65" s="24">
        <v>1149</v>
      </c>
    </row>
    <row r="66" spans="1:14" ht="12.75" customHeight="1">
      <c r="A66" s="24">
        <v>11410</v>
      </c>
      <c r="B66" s="24">
        <v>60</v>
      </c>
      <c r="N66" s="24">
        <v>11410</v>
      </c>
    </row>
    <row r="67" spans="1:14" ht="12.75" customHeight="1">
      <c r="A67" s="35">
        <v>11411</v>
      </c>
      <c r="B67" s="35"/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>
        <v>11411</v>
      </c>
    </row>
    <row r="68" spans="1:14" ht="12.75" customHeight="1" thickBot="1">
      <c r="A68" s="36" t="s">
        <v>435</v>
      </c>
      <c r="B68" s="39" t="s">
        <v>122</v>
      </c>
      <c r="C68" s="40"/>
      <c r="D68" s="36" t="s">
        <v>436</v>
      </c>
      <c r="E68" s="39" t="s">
        <v>449</v>
      </c>
      <c r="F68" s="40"/>
      <c r="G68" s="41" t="s">
        <v>455</v>
      </c>
      <c r="H68" s="166" t="s">
        <v>669</v>
      </c>
      <c r="I68" s="40"/>
      <c r="J68" s="41" t="s">
        <v>456</v>
      </c>
      <c r="K68" s="166" t="s">
        <v>1122</v>
      </c>
      <c r="L68" s="40"/>
      <c r="M68" s="40"/>
      <c r="N68" s="36" t="s">
        <v>435</v>
      </c>
    </row>
    <row r="69" spans="1:14" ht="12.75" customHeight="1" thickTop="1">
      <c r="A69" s="26" t="s">
        <v>457</v>
      </c>
      <c r="B69" s="43" t="s">
        <v>458</v>
      </c>
      <c r="C69" s="44" t="s">
        <v>459</v>
      </c>
      <c r="D69" s="45" t="s">
        <v>440</v>
      </c>
      <c r="E69" s="46" t="s">
        <v>461</v>
      </c>
      <c r="F69" s="46" t="s">
        <v>462</v>
      </c>
      <c r="G69" s="46" t="s">
        <v>463</v>
      </c>
      <c r="H69" s="46" t="s">
        <v>464</v>
      </c>
      <c r="I69" s="46" t="s">
        <v>467</v>
      </c>
      <c r="J69" s="46" t="s">
        <v>466</v>
      </c>
      <c r="K69" s="46" t="s">
        <v>447</v>
      </c>
      <c r="L69" s="46" t="s">
        <v>469</v>
      </c>
      <c r="M69" s="47" t="s">
        <v>442</v>
      </c>
      <c r="N69" s="42" t="s">
        <v>439</v>
      </c>
    </row>
    <row r="70" spans="1:14" ht="12.75" customHeight="1">
      <c r="A70" s="97" t="s">
        <v>1872</v>
      </c>
      <c r="B70" s="199" t="s">
        <v>1873</v>
      </c>
      <c r="C70" s="180" t="s">
        <v>595</v>
      </c>
      <c r="D70" s="200" t="s">
        <v>627</v>
      </c>
      <c r="E70" s="228"/>
      <c r="F70" s="228"/>
      <c r="G70" s="228"/>
      <c r="H70" s="228"/>
      <c r="I70" s="228"/>
      <c r="J70" s="228"/>
      <c r="K70" s="266" t="s">
        <v>597</v>
      </c>
      <c r="L70" s="266" t="s">
        <v>597</v>
      </c>
      <c r="M70" s="181"/>
      <c r="N70" s="236"/>
    </row>
    <row r="71" spans="1:14" ht="12.75" customHeight="1">
      <c r="A71" s="97" t="s">
        <v>1875</v>
      </c>
      <c r="B71" s="199" t="s">
        <v>1876</v>
      </c>
      <c r="C71" s="180" t="s">
        <v>595</v>
      </c>
      <c r="D71" s="200" t="s">
        <v>627</v>
      </c>
      <c r="E71" s="266" t="s">
        <v>597</v>
      </c>
      <c r="F71" s="266" t="s">
        <v>597</v>
      </c>
      <c r="G71" s="228"/>
      <c r="H71" s="228"/>
      <c r="I71" s="228"/>
      <c r="J71" s="228"/>
      <c r="K71" s="228"/>
      <c r="L71" s="267"/>
      <c r="M71" s="181"/>
      <c r="N71" s="237"/>
    </row>
    <row r="72" spans="1:14" ht="12.75" customHeight="1">
      <c r="A72" s="97" t="s">
        <v>1877</v>
      </c>
      <c r="B72" s="199" t="s">
        <v>1878</v>
      </c>
      <c r="C72" s="180" t="s">
        <v>595</v>
      </c>
      <c r="D72" s="200" t="s">
        <v>627</v>
      </c>
      <c r="E72" s="228"/>
      <c r="F72" s="228"/>
      <c r="G72" s="266"/>
      <c r="H72" s="266"/>
      <c r="I72" s="266" t="s">
        <v>597</v>
      </c>
      <c r="J72" s="266" t="s">
        <v>597</v>
      </c>
      <c r="K72" s="228"/>
      <c r="L72" s="267"/>
      <c r="M72" s="181"/>
      <c r="N72" s="238"/>
    </row>
    <row r="73" spans="1:14" ht="12.75" customHeight="1" thickBot="1">
      <c r="A73" s="99" t="s">
        <v>1879</v>
      </c>
      <c r="B73" s="202" t="s">
        <v>1880</v>
      </c>
      <c r="C73" s="189" t="s">
        <v>595</v>
      </c>
      <c r="D73" s="200" t="s">
        <v>627</v>
      </c>
      <c r="E73" s="228"/>
      <c r="F73" s="228"/>
      <c r="G73" s="266" t="s">
        <v>597</v>
      </c>
      <c r="H73" s="266" t="s">
        <v>597</v>
      </c>
      <c r="I73" s="228"/>
      <c r="J73" s="228"/>
      <c r="K73" s="228"/>
      <c r="L73" s="267"/>
      <c r="M73" s="181"/>
      <c r="N73" s="239"/>
    </row>
    <row r="74" spans="1:14" ht="12.75" customHeight="1" thickTop="1">
      <c r="A74" s="100" t="s">
        <v>1881</v>
      </c>
      <c r="B74" s="203" t="s">
        <v>1882</v>
      </c>
      <c r="C74" s="186" t="s">
        <v>596</v>
      </c>
      <c r="D74" s="200" t="s">
        <v>627</v>
      </c>
      <c r="E74" s="268"/>
      <c r="F74" s="268"/>
      <c r="G74" s="268"/>
      <c r="H74" s="268"/>
      <c r="I74" s="266" t="s">
        <v>597</v>
      </c>
      <c r="J74" s="266" t="s">
        <v>597</v>
      </c>
      <c r="K74" s="268"/>
      <c r="L74" s="269"/>
      <c r="M74" s="181"/>
      <c r="N74" s="237"/>
    </row>
    <row r="75" spans="1:14" ht="12.75" customHeight="1">
      <c r="A75" s="97" t="s">
        <v>1883</v>
      </c>
      <c r="B75" s="199" t="s">
        <v>1884</v>
      </c>
      <c r="C75" s="180" t="s">
        <v>596</v>
      </c>
      <c r="D75" s="200" t="s">
        <v>627</v>
      </c>
      <c r="E75" s="228"/>
      <c r="F75" s="228"/>
      <c r="G75" s="228"/>
      <c r="H75" s="228"/>
      <c r="I75" s="228"/>
      <c r="J75" s="228"/>
      <c r="K75" s="266" t="s">
        <v>597</v>
      </c>
      <c r="L75" s="266" t="s">
        <v>597</v>
      </c>
      <c r="M75" s="181"/>
      <c r="N75" s="237"/>
    </row>
    <row r="76" spans="1:14" ht="12.75" customHeight="1">
      <c r="A76" s="97" t="s">
        <v>1885</v>
      </c>
      <c r="B76" s="199" t="s">
        <v>1886</v>
      </c>
      <c r="C76" s="180" t="s">
        <v>596</v>
      </c>
      <c r="D76" s="200" t="s">
        <v>627</v>
      </c>
      <c r="E76" s="228"/>
      <c r="F76" s="228"/>
      <c r="G76" s="266" t="s">
        <v>597</v>
      </c>
      <c r="H76" s="266" t="s">
        <v>597</v>
      </c>
      <c r="I76" s="228"/>
      <c r="J76" s="228"/>
      <c r="K76" s="228"/>
      <c r="L76" s="267"/>
      <c r="M76" s="181"/>
      <c r="N76" s="240"/>
    </row>
    <row r="77" spans="1:14" ht="12.75" customHeight="1" thickBot="1">
      <c r="A77" s="99" t="s">
        <v>1887</v>
      </c>
      <c r="B77" s="202" t="s">
        <v>1888</v>
      </c>
      <c r="C77" s="189" t="s">
        <v>596</v>
      </c>
      <c r="D77" s="200" t="s">
        <v>627</v>
      </c>
      <c r="E77" s="266" t="s">
        <v>597</v>
      </c>
      <c r="F77" s="266" t="s">
        <v>597</v>
      </c>
      <c r="G77" s="270"/>
      <c r="H77" s="270"/>
      <c r="I77" s="270"/>
      <c r="J77" s="270"/>
      <c r="K77" s="270"/>
      <c r="L77" s="271"/>
      <c r="M77" s="104"/>
      <c r="N77" s="165"/>
    </row>
    <row r="78" spans="1:14" ht="12.75" customHeight="1" thickTop="1">
      <c r="A78" s="24">
        <v>1159</v>
      </c>
      <c r="N78" s="24">
        <v>1159</v>
      </c>
    </row>
    <row r="79" spans="1:14" ht="12.75" customHeight="1">
      <c r="A79" s="24">
        <v>11510</v>
      </c>
      <c r="B79" s="24">
        <v>50</v>
      </c>
      <c r="N79" s="24">
        <v>11510</v>
      </c>
    </row>
    <row r="80" spans="1:14" ht="12.75" customHeight="1">
      <c r="A80" s="24">
        <v>11511</v>
      </c>
      <c r="N80" s="24">
        <v>11511</v>
      </c>
    </row>
    <row r="81" spans="1:14" ht="12.75" customHeight="1" thickBot="1">
      <c r="A81" s="160" t="s">
        <v>435</v>
      </c>
      <c r="B81" s="61" t="s">
        <v>123</v>
      </c>
      <c r="C81" s="40"/>
      <c r="D81" s="36" t="s">
        <v>436</v>
      </c>
      <c r="E81" s="39" t="s">
        <v>449</v>
      </c>
      <c r="F81" s="40"/>
      <c r="G81" s="41" t="s">
        <v>455</v>
      </c>
      <c r="H81" s="61" t="s">
        <v>672</v>
      </c>
      <c r="I81" s="40"/>
      <c r="J81" s="41" t="s">
        <v>456</v>
      </c>
      <c r="K81" s="61" t="s">
        <v>673</v>
      </c>
      <c r="L81" s="40"/>
      <c r="M81" s="40"/>
      <c r="N81" s="160" t="s">
        <v>435</v>
      </c>
    </row>
    <row r="82" spans="1:14" ht="12.75" customHeight="1" thickTop="1">
      <c r="A82" s="26" t="s">
        <v>457</v>
      </c>
      <c r="B82" s="43" t="s">
        <v>458</v>
      </c>
      <c r="C82" s="44" t="s">
        <v>459</v>
      </c>
      <c r="D82" s="45" t="s">
        <v>440</v>
      </c>
      <c r="E82" s="46" t="s">
        <v>461</v>
      </c>
      <c r="F82" s="46" t="s">
        <v>462</v>
      </c>
      <c r="G82" s="46" t="s">
        <v>463</v>
      </c>
      <c r="H82" s="46" t="s">
        <v>464</v>
      </c>
      <c r="I82" s="46" t="s">
        <v>467</v>
      </c>
      <c r="J82" s="46" t="s">
        <v>466</v>
      </c>
      <c r="K82" s="46" t="s">
        <v>447</v>
      </c>
      <c r="L82" s="46" t="s">
        <v>469</v>
      </c>
      <c r="M82" s="47" t="s">
        <v>442</v>
      </c>
      <c r="N82" s="145" t="s">
        <v>439</v>
      </c>
    </row>
    <row r="83" spans="1:14" ht="12.75" customHeight="1">
      <c r="A83" s="154" t="s">
        <v>1893</v>
      </c>
      <c r="B83" s="179" t="s">
        <v>1894</v>
      </c>
      <c r="C83" s="180" t="s">
        <v>595</v>
      </c>
      <c r="D83" s="182" t="s">
        <v>1131</v>
      </c>
      <c r="E83" s="179"/>
      <c r="F83" s="179"/>
      <c r="G83" s="179" t="s">
        <v>597</v>
      </c>
      <c r="H83" s="179"/>
      <c r="I83" s="179"/>
      <c r="J83" s="179" t="s">
        <v>597</v>
      </c>
      <c r="K83" s="179"/>
      <c r="L83" s="183"/>
      <c r="M83" s="179" t="s">
        <v>597</v>
      </c>
      <c r="N83" s="162" t="s">
        <v>1123</v>
      </c>
    </row>
    <row r="84" spans="1:14" ht="12.75" customHeight="1">
      <c r="A84" s="154" t="s">
        <v>1895</v>
      </c>
      <c r="B84" s="179" t="s">
        <v>1896</v>
      </c>
      <c r="C84" s="180" t="s">
        <v>595</v>
      </c>
      <c r="D84" s="182" t="s">
        <v>613</v>
      </c>
      <c r="E84" s="179"/>
      <c r="F84" s="179" t="s">
        <v>597</v>
      </c>
      <c r="G84" s="179"/>
      <c r="H84" s="179"/>
      <c r="I84" s="179"/>
      <c r="J84" s="179"/>
      <c r="K84" s="179" t="s">
        <v>597</v>
      </c>
      <c r="L84" s="179"/>
      <c r="M84" s="179" t="s">
        <v>597</v>
      </c>
      <c r="N84" s="162" t="s">
        <v>1124</v>
      </c>
    </row>
    <row r="85" spans="1:14" ht="12.75" customHeight="1">
      <c r="A85" s="154" t="s">
        <v>1897</v>
      </c>
      <c r="B85" s="179" t="s">
        <v>1898</v>
      </c>
      <c r="C85" s="180" t="s">
        <v>595</v>
      </c>
      <c r="D85" s="182" t="s">
        <v>613</v>
      </c>
      <c r="E85" s="179" t="s">
        <v>597</v>
      </c>
      <c r="F85" s="179"/>
      <c r="G85" s="179"/>
      <c r="H85" s="179"/>
      <c r="I85" s="179" t="s">
        <v>597</v>
      </c>
      <c r="J85" s="179"/>
      <c r="K85" s="179"/>
      <c r="L85" s="183"/>
      <c r="M85" s="181"/>
      <c r="N85" s="162" t="s">
        <v>1125</v>
      </c>
    </row>
    <row r="86" spans="1:14" ht="12.75" customHeight="1" thickBot="1">
      <c r="A86" s="155" t="s">
        <v>1899</v>
      </c>
      <c r="B86" s="188" t="s">
        <v>1900</v>
      </c>
      <c r="C86" s="189" t="s">
        <v>595</v>
      </c>
      <c r="D86" s="182" t="s">
        <v>1131</v>
      </c>
      <c r="E86" s="179"/>
      <c r="F86" s="179"/>
      <c r="G86" s="179"/>
      <c r="H86" s="179"/>
      <c r="I86" s="179"/>
      <c r="J86" s="179"/>
      <c r="K86" s="179"/>
      <c r="L86" s="179" t="s">
        <v>597</v>
      </c>
      <c r="M86" s="181"/>
      <c r="N86" s="164" t="s">
        <v>1126</v>
      </c>
    </row>
    <row r="87" spans="1:14" ht="12.75" customHeight="1" thickTop="1">
      <c r="A87" s="156" t="s">
        <v>1901</v>
      </c>
      <c r="B87" s="185" t="s">
        <v>1902</v>
      </c>
      <c r="C87" s="186" t="s">
        <v>596</v>
      </c>
      <c r="D87" s="184" t="s">
        <v>613</v>
      </c>
      <c r="E87" s="185"/>
      <c r="F87" s="185"/>
      <c r="G87" s="185"/>
      <c r="H87" s="185"/>
      <c r="I87" s="185" t="s">
        <v>597</v>
      </c>
      <c r="J87" s="179" t="s">
        <v>597</v>
      </c>
      <c r="K87" s="185"/>
      <c r="L87" s="187"/>
      <c r="M87" s="179" t="s">
        <v>597</v>
      </c>
      <c r="N87" s="163" t="s">
        <v>1127</v>
      </c>
    </row>
    <row r="88" spans="1:14" ht="12.75" customHeight="1">
      <c r="A88" s="154" t="s">
        <v>1903</v>
      </c>
      <c r="B88" s="179" t="s">
        <v>1904</v>
      </c>
      <c r="C88" s="180" t="s">
        <v>596</v>
      </c>
      <c r="D88" s="182" t="s">
        <v>1131</v>
      </c>
      <c r="E88" s="179"/>
      <c r="F88" s="179"/>
      <c r="G88" s="179"/>
      <c r="H88" s="179"/>
      <c r="I88" s="179"/>
      <c r="J88" s="179"/>
      <c r="K88" s="179"/>
      <c r="L88" s="179" t="s">
        <v>597</v>
      </c>
      <c r="M88" s="181"/>
      <c r="N88" s="162" t="s">
        <v>1128</v>
      </c>
    </row>
    <row r="89" spans="1:14" ht="12.75" customHeight="1">
      <c r="A89" s="154" t="s">
        <v>1905</v>
      </c>
      <c r="B89" s="179" t="s">
        <v>1906</v>
      </c>
      <c r="C89" s="180" t="s">
        <v>596</v>
      </c>
      <c r="D89" s="182" t="s">
        <v>613</v>
      </c>
      <c r="E89" s="179"/>
      <c r="F89" s="179"/>
      <c r="G89" s="179" t="s">
        <v>597</v>
      </c>
      <c r="H89" s="179"/>
      <c r="I89" s="179"/>
      <c r="J89" s="179"/>
      <c r="K89" s="179" t="s">
        <v>597</v>
      </c>
      <c r="L89" s="183"/>
      <c r="M89" s="181"/>
      <c r="N89" s="162" t="s">
        <v>1129</v>
      </c>
    </row>
    <row r="90" spans="1:14" ht="12.75" customHeight="1" thickBot="1">
      <c r="A90" s="155" t="s">
        <v>1907</v>
      </c>
      <c r="B90" s="188" t="s">
        <v>1908</v>
      </c>
      <c r="C90" s="189" t="s">
        <v>596</v>
      </c>
      <c r="D90" s="206" t="s">
        <v>1131</v>
      </c>
      <c r="E90" s="179" t="s">
        <v>597</v>
      </c>
      <c r="F90" s="179" t="s">
        <v>597</v>
      </c>
      <c r="G90" s="188"/>
      <c r="H90" s="188"/>
      <c r="I90" s="188"/>
      <c r="J90" s="188"/>
      <c r="K90" s="188"/>
      <c r="L90" s="205"/>
      <c r="M90" s="179" t="s">
        <v>597</v>
      </c>
      <c r="N90" s="164" t="s">
        <v>1130</v>
      </c>
    </row>
    <row r="91" spans="1:14" ht="12.75" customHeight="1" thickTop="1">
      <c r="A91" s="320">
        <v>1169</v>
      </c>
      <c r="B91" s="320"/>
      <c r="C91" s="320"/>
      <c r="D91" s="320"/>
      <c r="E91" s="320"/>
      <c r="F91" s="320"/>
      <c r="G91" s="320"/>
      <c r="H91" s="320"/>
      <c r="I91" s="320"/>
      <c r="J91" s="320"/>
      <c r="K91" s="320"/>
      <c r="L91" s="320"/>
      <c r="M91" s="320"/>
      <c r="N91" s="320"/>
    </row>
    <row r="92" spans="1:14" ht="12.75" customHeight="1">
      <c r="A92" s="24">
        <v>11610</v>
      </c>
      <c r="B92" s="24">
        <v>20</v>
      </c>
      <c r="N92" s="24">
        <v>11610</v>
      </c>
    </row>
    <row r="93" spans="1:14" ht="12.75" customHeight="1">
      <c r="A93" s="24">
        <v>11611</v>
      </c>
      <c r="N93" s="24">
        <v>11611</v>
      </c>
    </row>
    <row r="94" spans="1:14" ht="12.75" customHeight="1">
      <c r="A94" s="24">
        <v>11612</v>
      </c>
      <c r="B94" s="24" t="s">
        <v>124</v>
      </c>
      <c r="D94" s="24" t="s">
        <v>592</v>
      </c>
      <c r="E94" s="24" t="s">
        <v>593</v>
      </c>
      <c r="G94" s="24" t="s">
        <v>455</v>
      </c>
      <c r="H94" s="24" t="s">
        <v>1142</v>
      </c>
      <c r="J94" s="24" t="s">
        <v>456</v>
      </c>
      <c r="K94" s="24" t="s">
        <v>599</v>
      </c>
      <c r="N94" s="24">
        <v>11612</v>
      </c>
    </row>
    <row r="95" spans="1:14" ht="12.75" customHeight="1">
      <c r="A95" s="26" t="s">
        <v>457</v>
      </c>
      <c r="B95" s="26" t="s">
        <v>458</v>
      </c>
      <c r="C95" s="27" t="s">
        <v>459</v>
      </c>
      <c r="D95" s="26" t="s">
        <v>402</v>
      </c>
      <c r="E95" s="28" t="s">
        <v>461</v>
      </c>
      <c r="F95" s="28" t="s">
        <v>462</v>
      </c>
      <c r="G95" s="28" t="s">
        <v>463</v>
      </c>
      <c r="H95" s="28" t="s">
        <v>464</v>
      </c>
      <c r="I95" s="28" t="s">
        <v>409</v>
      </c>
      <c r="J95" s="28" t="s">
        <v>466</v>
      </c>
      <c r="K95" s="28" t="s">
        <v>454</v>
      </c>
      <c r="L95" s="28" t="s">
        <v>410</v>
      </c>
      <c r="M95" s="28" t="s">
        <v>495</v>
      </c>
      <c r="N95" s="26" t="s">
        <v>403</v>
      </c>
    </row>
    <row r="96" spans="1:14" ht="12.75" customHeight="1">
      <c r="A96" s="26">
        <v>1201</v>
      </c>
      <c r="B96" s="179" t="s">
        <v>1913</v>
      </c>
      <c r="C96" s="180" t="s">
        <v>595</v>
      </c>
      <c r="D96" s="200" t="s">
        <v>1140</v>
      </c>
      <c r="E96" s="199"/>
      <c r="F96" s="199"/>
      <c r="G96" s="199"/>
      <c r="H96" s="199"/>
      <c r="I96" s="272" t="s">
        <v>597</v>
      </c>
      <c r="J96" s="199"/>
      <c r="K96" s="272" t="s">
        <v>597</v>
      </c>
      <c r="L96" s="199"/>
      <c r="M96" s="181"/>
      <c r="N96" s="241" t="s">
        <v>1132</v>
      </c>
    </row>
    <row r="97" spans="1:14" ht="12.75" customHeight="1">
      <c r="A97" s="26">
        <v>1202</v>
      </c>
      <c r="B97" s="179" t="s">
        <v>1914</v>
      </c>
      <c r="C97" s="180" t="s">
        <v>595</v>
      </c>
      <c r="D97" s="200" t="s">
        <v>1140</v>
      </c>
      <c r="E97" s="272" t="s">
        <v>597</v>
      </c>
      <c r="F97" s="272" t="s">
        <v>597</v>
      </c>
      <c r="G97" s="199"/>
      <c r="H97" s="199"/>
      <c r="I97" s="201"/>
      <c r="J97" s="199"/>
      <c r="K97" s="199"/>
      <c r="L97" s="199"/>
      <c r="M97" s="181"/>
      <c r="N97" s="241" t="s">
        <v>1133</v>
      </c>
    </row>
    <row r="98" spans="1:14" ht="12.75" customHeight="1">
      <c r="A98" s="26">
        <v>1203</v>
      </c>
      <c r="B98" s="179" t="s">
        <v>1915</v>
      </c>
      <c r="C98" s="180" t="s">
        <v>595</v>
      </c>
      <c r="D98" s="200" t="s">
        <v>1141</v>
      </c>
      <c r="E98" s="199"/>
      <c r="F98" s="199"/>
      <c r="G98" s="199"/>
      <c r="H98" s="199"/>
      <c r="I98" s="199"/>
      <c r="J98" s="199"/>
      <c r="K98" s="199"/>
      <c r="L98" s="272" t="s">
        <v>597</v>
      </c>
      <c r="M98" s="181"/>
      <c r="N98" s="241" t="s">
        <v>1134</v>
      </c>
    </row>
    <row r="99" spans="1:14" ht="12.75" customHeight="1" thickBot="1">
      <c r="A99" s="26">
        <v>1204</v>
      </c>
      <c r="B99" s="188" t="s">
        <v>1916</v>
      </c>
      <c r="C99" s="189" t="s">
        <v>595</v>
      </c>
      <c r="D99" s="200" t="s">
        <v>1141</v>
      </c>
      <c r="E99" s="199"/>
      <c r="F99" s="199"/>
      <c r="G99" s="272" t="s">
        <v>597</v>
      </c>
      <c r="H99" s="272" t="s">
        <v>597</v>
      </c>
      <c r="I99" s="199"/>
      <c r="J99" s="199"/>
      <c r="K99" s="199"/>
      <c r="L99" s="199"/>
      <c r="M99" s="181"/>
      <c r="N99" s="242" t="s">
        <v>1135</v>
      </c>
    </row>
    <row r="100" spans="1:14" ht="12.75" customHeight="1" thickTop="1">
      <c r="A100" s="26">
        <v>1205</v>
      </c>
      <c r="B100" s="185" t="s">
        <v>1917</v>
      </c>
      <c r="C100" s="186" t="s">
        <v>596</v>
      </c>
      <c r="D100" s="200" t="s">
        <v>1140</v>
      </c>
      <c r="E100" s="272" t="s">
        <v>597</v>
      </c>
      <c r="F100" s="272" t="s">
        <v>597</v>
      </c>
      <c r="G100" s="203"/>
      <c r="H100" s="203"/>
      <c r="I100" s="203"/>
      <c r="J100" s="203"/>
      <c r="K100" s="203"/>
      <c r="L100" s="208"/>
      <c r="M100" s="181"/>
      <c r="N100" s="243" t="s">
        <v>1136</v>
      </c>
    </row>
    <row r="101" spans="1:14" ht="12.75" customHeight="1">
      <c r="A101" s="26">
        <v>1206</v>
      </c>
      <c r="B101" s="179" t="s">
        <v>1918</v>
      </c>
      <c r="C101" s="180" t="s">
        <v>596</v>
      </c>
      <c r="D101" s="200" t="s">
        <v>1140</v>
      </c>
      <c r="E101" s="199"/>
      <c r="F101"/>
      <c r="G101" s="272" t="s">
        <v>597</v>
      </c>
      <c r="H101" s="272" t="s">
        <v>597</v>
      </c>
      <c r="I101" s="199"/>
      <c r="J101" s="199"/>
      <c r="K101" s="199"/>
      <c r="L101" s="207"/>
      <c r="M101" s="181"/>
      <c r="N101" s="241" t="s">
        <v>1137</v>
      </c>
    </row>
    <row r="102" spans="1:14" ht="12.75" customHeight="1">
      <c r="A102" s="26">
        <v>1207</v>
      </c>
      <c r="B102" s="179" t="s">
        <v>1919</v>
      </c>
      <c r="C102" s="180" t="s">
        <v>596</v>
      </c>
      <c r="D102" s="200" t="s">
        <v>1140</v>
      </c>
      <c r="E102" s="199"/>
      <c r="F102" s="199"/>
      <c r="G102" s="199"/>
      <c r="H102" s="199"/>
      <c r="I102" s="199"/>
      <c r="J102" s="199"/>
      <c r="K102" s="272" t="s">
        <v>597</v>
      </c>
      <c r="L102" s="207"/>
      <c r="M102" s="198"/>
      <c r="N102" s="241" t="s">
        <v>1138</v>
      </c>
    </row>
    <row r="103" spans="1:14" ht="12.75" customHeight="1" thickBot="1">
      <c r="A103" s="26">
        <v>1208</v>
      </c>
      <c r="B103" s="188" t="s">
        <v>1920</v>
      </c>
      <c r="C103" s="189" t="s">
        <v>596</v>
      </c>
      <c r="D103" s="200" t="s">
        <v>1141</v>
      </c>
      <c r="E103" s="202"/>
      <c r="F103" s="202"/>
      <c r="G103" s="202"/>
      <c r="H103" s="202"/>
      <c r="I103" s="272" t="s">
        <v>597</v>
      </c>
      <c r="J103" s="195"/>
      <c r="K103" s="199"/>
      <c r="L103" s="272" t="s">
        <v>597</v>
      </c>
      <c r="M103" s="179"/>
      <c r="N103" s="242" t="s">
        <v>1139</v>
      </c>
    </row>
    <row r="104" spans="1:14" ht="12.75" customHeight="1" thickTop="1">
      <c r="A104" s="320">
        <v>1179</v>
      </c>
      <c r="B104" s="320"/>
      <c r="C104" s="320"/>
      <c r="D104" s="320"/>
      <c r="E104" s="320"/>
      <c r="F104" s="320"/>
      <c r="G104" s="320"/>
      <c r="H104" s="320"/>
      <c r="I104" s="320"/>
      <c r="J104" s="320"/>
      <c r="K104" s="320"/>
      <c r="L104" s="320"/>
      <c r="M104" s="320"/>
      <c r="N104" s="320"/>
    </row>
    <row r="105" spans="1:14" ht="12.75" customHeight="1">
      <c r="A105" s="24">
        <v>11710</v>
      </c>
      <c r="B105" s="24">
        <v>18</v>
      </c>
      <c r="N105" s="24">
        <v>11710</v>
      </c>
    </row>
    <row r="106" spans="1:14" ht="12.75" customHeight="1">
      <c r="A106" s="24">
        <v>11711</v>
      </c>
      <c r="N106" s="24">
        <v>11711</v>
      </c>
    </row>
    <row r="107" spans="1:14" ht="12.75" customHeight="1">
      <c r="A107" s="29">
        <v>11712</v>
      </c>
      <c r="B107" s="29" t="s">
        <v>125</v>
      </c>
      <c r="D107" s="24" t="s">
        <v>592</v>
      </c>
      <c r="E107" s="24" t="s">
        <v>593</v>
      </c>
      <c r="G107" s="29" t="s">
        <v>455</v>
      </c>
      <c r="H107" s="166" t="s">
        <v>1151</v>
      </c>
      <c r="J107" s="29" t="s">
        <v>456</v>
      </c>
      <c r="K107" s="29" t="s">
        <v>618</v>
      </c>
      <c r="N107" s="29">
        <v>11712</v>
      </c>
    </row>
    <row r="108" spans="1:14" ht="12.75" customHeight="1">
      <c r="A108" s="26" t="s">
        <v>457</v>
      </c>
      <c r="B108" s="84" t="s">
        <v>458</v>
      </c>
      <c r="C108" s="84" t="s">
        <v>459</v>
      </c>
      <c r="D108" s="84" t="s">
        <v>446</v>
      </c>
      <c r="E108" s="84" t="s">
        <v>461</v>
      </c>
      <c r="F108" s="84" t="s">
        <v>462</v>
      </c>
      <c r="G108" s="84" t="s">
        <v>463</v>
      </c>
      <c r="H108" s="84" t="s">
        <v>464</v>
      </c>
      <c r="I108" s="84" t="s">
        <v>467</v>
      </c>
      <c r="J108" s="84" t="s">
        <v>466</v>
      </c>
      <c r="K108" s="84" t="s">
        <v>447</v>
      </c>
      <c r="L108" s="84" t="s">
        <v>451</v>
      </c>
      <c r="M108" s="84" t="s">
        <v>442</v>
      </c>
      <c r="N108" s="146" t="s">
        <v>439</v>
      </c>
    </row>
    <row r="109" spans="1:14" ht="12.75" customHeight="1">
      <c r="A109" s="146" t="s">
        <v>1925</v>
      </c>
      <c r="B109" s="179" t="s">
        <v>1926</v>
      </c>
      <c r="C109" s="180" t="s">
        <v>595</v>
      </c>
      <c r="D109" s="182" t="s">
        <v>618</v>
      </c>
      <c r="E109" s="179"/>
      <c r="F109" s="179"/>
      <c r="G109" s="179"/>
      <c r="H109" s="179" t="s">
        <v>597</v>
      </c>
      <c r="I109" s="179"/>
      <c r="J109" s="179"/>
      <c r="K109" s="179" t="s">
        <v>597</v>
      </c>
      <c r="L109" s="183"/>
      <c r="M109" s="210"/>
      <c r="N109" s="162" t="s">
        <v>1143</v>
      </c>
    </row>
    <row r="110" spans="1:14" ht="12.75" customHeight="1">
      <c r="A110" s="146" t="s">
        <v>1927</v>
      </c>
      <c r="B110" s="179" t="s">
        <v>1928</v>
      </c>
      <c r="C110" s="180" t="s">
        <v>595</v>
      </c>
      <c r="D110" s="182" t="s">
        <v>618</v>
      </c>
      <c r="E110" s="179" t="s">
        <v>597</v>
      </c>
      <c r="F110" s="179"/>
      <c r="G110" s="179"/>
      <c r="H110" s="179"/>
      <c r="I110" s="179"/>
      <c r="J110" s="179"/>
      <c r="K110" s="179"/>
      <c r="L110" s="183" t="s">
        <v>597</v>
      </c>
      <c r="M110" s="210"/>
      <c r="N110" s="181" t="s">
        <v>1144</v>
      </c>
    </row>
    <row r="111" spans="1:14" ht="12.75" customHeight="1">
      <c r="A111" s="146" t="s">
        <v>1929</v>
      </c>
      <c r="B111" s="179" t="s">
        <v>1930</v>
      </c>
      <c r="C111" s="180" t="s">
        <v>595</v>
      </c>
      <c r="D111" s="182" t="s">
        <v>618</v>
      </c>
      <c r="E111" s="179"/>
      <c r="F111" s="179" t="s">
        <v>597</v>
      </c>
      <c r="G111" s="179" t="s">
        <v>597</v>
      </c>
      <c r="H111" s="179"/>
      <c r="I111" s="179"/>
      <c r="J111" s="179"/>
      <c r="K111" s="179"/>
      <c r="L111" s="183"/>
      <c r="M111" s="210"/>
      <c r="N111" s="162" t="s">
        <v>1145</v>
      </c>
    </row>
    <row r="112" spans="1:14" ht="12.75" customHeight="1" thickBot="1">
      <c r="A112" s="146" t="s">
        <v>1931</v>
      </c>
      <c r="B112" s="188" t="s">
        <v>1932</v>
      </c>
      <c r="C112" s="189" t="s">
        <v>595</v>
      </c>
      <c r="D112" s="182" t="s">
        <v>618</v>
      </c>
      <c r="E112" s="179"/>
      <c r="F112" s="179"/>
      <c r="G112" s="179"/>
      <c r="H112" s="179"/>
      <c r="I112" s="179" t="s">
        <v>597</v>
      </c>
      <c r="J112" s="179" t="s">
        <v>597</v>
      </c>
      <c r="K112" s="179"/>
      <c r="L112" s="183"/>
      <c r="M112" s="210"/>
      <c r="N112" s="164" t="s">
        <v>1146</v>
      </c>
    </row>
    <row r="113" spans="1:14" ht="12.75" customHeight="1" thickTop="1">
      <c r="A113" s="146" t="s">
        <v>1933</v>
      </c>
      <c r="B113" s="185" t="s">
        <v>1934</v>
      </c>
      <c r="C113" s="186" t="s">
        <v>596</v>
      </c>
      <c r="D113" s="182" t="s">
        <v>618</v>
      </c>
      <c r="E113" s="185"/>
      <c r="F113" s="185"/>
      <c r="G113" s="185"/>
      <c r="H113" s="185"/>
      <c r="I113" s="185" t="s">
        <v>597</v>
      </c>
      <c r="J113" s="185"/>
      <c r="K113" s="185" t="s">
        <v>597</v>
      </c>
      <c r="L113" s="187"/>
      <c r="M113" s="210"/>
      <c r="N113" s="162" t="s">
        <v>1147</v>
      </c>
    </row>
    <row r="114" spans="1:14" ht="12.75" customHeight="1">
      <c r="A114" s="146" t="s">
        <v>1935</v>
      </c>
      <c r="B114" s="179" t="s">
        <v>1936</v>
      </c>
      <c r="C114" s="180" t="s">
        <v>596</v>
      </c>
      <c r="D114" s="182" t="s">
        <v>618</v>
      </c>
      <c r="E114" s="179"/>
      <c r="F114" s="179" t="s">
        <v>597</v>
      </c>
      <c r="G114" s="179" t="s">
        <v>597</v>
      </c>
      <c r="H114" s="179"/>
      <c r="I114" s="179"/>
      <c r="J114" s="179"/>
      <c r="K114" s="179"/>
      <c r="L114" s="183"/>
      <c r="M114" s="210"/>
      <c r="N114" s="162" t="s">
        <v>1148</v>
      </c>
    </row>
    <row r="115" spans="1:14" ht="12.75" customHeight="1">
      <c r="A115" s="146" t="s">
        <v>1937</v>
      </c>
      <c r="B115" s="179" t="s">
        <v>1938</v>
      </c>
      <c r="C115" s="180" t="s">
        <v>596</v>
      </c>
      <c r="D115" s="182" t="s">
        <v>618</v>
      </c>
      <c r="E115" s="179"/>
      <c r="F115" s="179"/>
      <c r="G115" s="179"/>
      <c r="H115" s="179"/>
      <c r="I115" s="179"/>
      <c r="J115" s="179" t="s">
        <v>597</v>
      </c>
      <c r="K115" s="179"/>
      <c r="L115" s="183" t="s">
        <v>597</v>
      </c>
      <c r="M115" s="210"/>
      <c r="N115" s="162" t="s">
        <v>1149</v>
      </c>
    </row>
    <row r="116" spans="1:14" ht="12.75" customHeight="1" thickBot="1">
      <c r="A116" s="146" t="s">
        <v>1939</v>
      </c>
      <c r="B116" s="188" t="s">
        <v>1940</v>
      </c>
      <c r="C116" s="189" t="s">
        <v>596</v>
      </c>
      <c r="D116" s="188" t="s">
        <v>618</v>
      </c>
      <c r="E116" s="188" t="s">
        <v>597</v>
      </c>
      <c r="F116" s="188"/>
      <c r="G116" s="188"/>
      <c r="H116" s="188" t="s">
        <v>597</v>
      </c>
      <c r="I116" s="188"/>
      <c r="J116" s="188"/>
      <c r="K116" s="188"/>
      <c r="L116" s="205"/>
      <c r="M116" s="212"/>
      <c r="N116" s="164" t="s">
        <v>1150</v>
      </c>
    </row>
    <row r="117" spans="1:14" ht="12.75" customHeight="1" thickTop="1">
      <c r="A117" s="320">
        <v>1189</v>
      </c>
      <c r="B117" s="320"/>
      <c r="C117" s="320"/>
      <c r="D117" s="320"/>
      <c r="E117" s="320"/>
      <c r="F117" s="320"/>
      <c r="G117" s="320"/>
      <c r="H117" s="320"/>
      <c r="I117" s="320"/>
      <c r="J117" s="320"/>
      <c r="K117" s="320"/>
      <c r="L117" s="320"/>
      <c r="M117" s="320"/>
      <c r="N117" s="320"/>
    </row>
    <row r="118" spans="1:14" ht="12.75" customHeight="1">
      <c r="A118" s="24">
        <v>11810</v>
      </c>
      <c r="B118" s="24">
        <v>19</v>
      </c>
      <c r="N118" s="24">
        <v>11810</v>
      </c>
    </row>
    <row r="119" spans="1:14" ht="12.75" customHeight="1">
      <c r="A119" s="24">
        <v>11811</v>
      </c>
      <c r="N119" s="24">
        <v>11811</v>
      </c>
    </row>
    <row r="120" spans="1:14" ht="12.75" customHeight="1" thickBot="1">
      <c r="A120" s="36" t="s">
        <v>435</v>
      </c>
      <c r="B120" s="39" t="s">
        <v>450</v>
      </c>
      <c r="C120" s="40"/>
      <c r="D120" s="36" t="s">
        <v>436</v>
      </c>
      <c r="E120" s="39" t="s">
        <v>449</v>
      </c>
      <c r="F120" s="40"/>
      <c r="G120" s="41" t="s">
        <v>455</v>
      </c>
      <c r="H120" s="166" t="s">
        <v>1160</v>
      </c>
      <c r="I120" s="40"/>
      <c r="J120" s="41" t="s">
        <v>456</v>
      </c>
      <c r="K120" s="166" t="s">
        <v>601</v>
      </c>
      <c r="L120" s="40"/>
      <c r="M120" s="40"/>
      <c r="N120" s="36" t="s">
        <v>435</v>
      </c>
    </row>
    <row r="121" spans="1:14" ht="12.75" customHeight="1" thickTop="1">
      <c r="A121" s="26" t="s">
        <v>457</v>
      </c>
      <c r="B121" s="43" t="s">
        <v>458</v>
      </c>
      <c r="C121" s="44" t="s">
        <v>459</v>
      </c>
      <c r="D121" s="45" t="s">
        <v>440</v>
      </c>
      <c r="E121" s="46" t="s">
        <v>461</v>
      </c>
      <c r="F121" s="46" t="s">
        <v>462</v>
      </c>
      <c r="G121" s="46" t="s">
        <v>463</v>
      </c>
      <c r="H121" s="46" t="s">
        <v>464</v>
      </c>
      <c r="I121" s="46" t="s">
        <v>467</v>
      </c>
      <c r="J121" s="46" t="s">
        <v>466</v>
      </c>
      <c r="K121" s="46" t="s">
        <v>447</v>
      </c>
      <c r="L121" s="46" t="s">
        <v>469</v>
      </c>
      <c r="M121" s="47" t="s">
        <v>442</v>
      </c>
      <c r="N121" s="42" t="s">
        <v>439</v>
      </c>
    </row>
    <row r="122" spans="1:14" ht="12.75" customHeight="1">
      <c r="A122" s="140">
        <v>1191</v>
      </c>
      <c r="B122" s="179" t="s">
        <v>1945</v>
      </c>
      <c r="C122" s="180" t="s">
        <v>595</v>
      </c>
      <c r="D122" s="182" t="s">
        <v>600</v>
      </c>
      <c r="E122" s="179"/>
      <c r="F122" s="179"/>
      <c r="G122" s="179" t="s">
        <v>597</v>
      </c>
      <c r="H122" s="179"/>
      <c r="I122" s="179"/>
      <c r="J122" s="179"/>
      <c r="K122" s="179"/>
      <c r="L122" s="183"/>
      <c r="M122" s="179"/>
      <c r="N122" s="181" t="s">
        <v>1152</v>
      </c>
    </row>
    <row r="123" spans="1:14" ht="12.75" customHeight="1">
      <c r="A123" s="140">
        <v>1192</v>
      </c>
      <c r="B123" s="179" t="s">
        <v>1946</v>
      </c>
      <c r="C123" s="180" t="s">
        <v>595</v>
      </c>
      <c r="D123" s="182" t="s">
        <v>600</v>
      </c>
      <c r="E123" s="179"/>
      <c r="F123" s="179"/>
      <c r="G123" s="179"/>
      <c r="H123" s="179"/>
      <c r="I123" s="179" t="s">
        <v>597</v>
      </c>
      <c r="J123" s="179"/>
      <c r="K123" s="179"/>
      <c r="L123" s="183"/>
      <c r="M123" s="185"/>
      <c r="N123" s="181" t="s">
        <v>1153</v>
      </c>
    </row>
    <row r="124" spans="1:14" ht="12.75" customHeight="1">
      <c r="A124" s="140">
        <v>1193</v>
      </c>
      <c r="B124" s="179" t="s">
        <v>1947</v>
      </c>
      <c r="C124" s="180" t="s">
        <v>595</v>
      </c>
      <c r="D124" s="182" t="s">
        <v>600</v>
      </c>
      <c r="E124" s="179"/>
      <c r="F124" s="179"/>
      <c r="G124" s="179"/>
      <c r="H124" s="179"/>
      <c r="I124" s="179"/>
      <c r="J124" s="179"/>
      <c r="K124" s="179" t="s">
        <v>597</v>
      </c>
      <c r="L124" s="183"/>
      <c r="M124" s="181"/>
      <c r="N124" s="181" t="s">
        <v>1154</v>
      </c>
    </row>
    <row r="125" spans="1:14" ht="12.75" customHeight="1" thickBot="1">
      <c r="A125" s="141">
        <v>1194</v>
      </c>
      <c r="B125" s="179" t="s">
        <v>1948</v>
      </c>
      <c r="C125" s="180" t="s">
        <v>595</v>
      </c>
      <c r="D125" s="182" t="s">
        <v>600</v>
      </c>
      <c r="E125" s="179"/>
      <c r="F125" s="179"/>
      <c r="G125" s="179"/>
      <c r="H125" s="179"/>
      <c r="I125" s="179"/>
      <c r="J125" s="179"/>
      <c r="K125" s="179"/>
      <c r="L125" s="179" t="s">
        <v>597</v>
      </c>
      <c r="M125" s="179"/>
      <c r="N125" s="181" t="s">
        <v>1155</v>
      </c>
    </row>
    <row r="126" spans="1:14" ht="12.75" customHeight="1" thickTop="1">
      <c r="A126" s="142">
        <v>1195</v>
      </c>
      <c r="B126" s="185" t="s">
        <v>1949</v>
      </c>
      <c r="C126" s="186" t="s">
        <v>596</v>
      </c>
      <c r="D126" s="182" t="s">
        <v>600</v>
      </c>
      <c r="E126" s="185"/>
      <c r="F126" s="185"/>
      <c r="G126" s="179" t="s">
        <v>597</v>
      </c>
      <c r="H126" s="185"/>
      <c r="I126" s="185"/>
      <c r="J126" s="185"/>
      <c r="K126" s="185"/>
      <c r="L126" s="187"/>
      <c r="M126" s="179"/>
      <c r="N126" s="181" t="s">
        <v>1156</v>
      </c>
    </row>
    <row r="127" spans="1:14" ht="12.75" customHeight="1">
      <c r="A127" s="140">
        <v>1196</v>
      </c>
      <c r="B127" s="185" t="s">
        <v>1950</v>
      </c>
      <c r="C127" s="186" t="s">
        <v>596</v>
      </c>
      <c r="D127" s="182" t="s">
        <v>600</v>
      </c>
      <c r="E127" s="179"/>
      <c r="F127" s="179"/>
      <c r="G127" s="179"/>
      <c r="H127" s="179" t="s">
        <v>597</v>
      </c>
      <c r="I127" s="179"/>
      <c r="J127" s="179"/>
      <c r="K127" s="179"/>
      <c r="L127" s="183"/>
      <c r="M127" s="181"/>
      <c r="N127" s="193" t="s">
        <v>1157</v>
      </c>
    </row>
    <row r="128" spans="1:14" ht="12.75" customHeight="1">
      <c r="A128" s="140">
        <v>1197</v>
      </c>
      <c r="B128" s="185" t="s">
        <v>1951</v>
      </c>
      <c r="C128" s="186" t="s">
        <v>596</v>
      </c>
      <c r="D128" s="182" t="s">
        <v>600</v>
      </c>
      <c r="E128" s="179"/>
      <c r="F128" s="179"/>
      <c r="G128" s="179"/>
      <c r="H128" s="179"/>
      <c r="I128" s="179" t="s">
        <v>597</v>
      </c>
      <c r="J128" s="179"/>
      <c r="K128" s="179"/>
      <c r="L128" s="183"/>
      <c r="M128" s="185"/>
      <c r="N128" s="193" t="s">
        <v>1158</v>
      </c>
    </row>
    <row r="129" spans="1:14" ht="12.75" customHeight="1" thickBot="1">
      <c r="A129" s="52">
        <v>1198</v>
      </c>
      <c r="B129" s="179" t="s">
        <v>1952</v>
      </c>
      <c r="C129" s="180" t="s">
        <v>596</v>
      </c>
      <c r="D129" s="182" t="s">
        <v>600</v>
      </c>
      <c r="E129" s="188"/>
      <c r="F129" s="179"/>
      <c r="G129" s="179"/>
      <c r="H129" s="179"/>
      <c r="I129" s="179"/>
      <c r="J129" s="179"/>
      <c r="K129" s="179" t="s">
        <v>597</v>
      </c>
      <c r="L129" s="205"/>
      <c r="M129" s="179"/>
      <c r="N129" s="181" t="s">
        <v>1159</v>
      </c>
    </row>
    <row r="130" spans="1:14" ht="12.75" customHeight="1" thickTop="1">
      <c r="A130" s="320">
        <v>1199</v>
      </c>
      <c r="B130" s="320"/>
      <c r="C130" s="320"/>
      <c r="D130" s="320"/>
      <c r="E130" s="320"/>
      <c r="F130" s="320"/>
      <c r="G130" s="320"/>
      <c r="H130" s="320"/>
      <c r="I130" s="320"/>
      <c r="J130" s="320"/>
      <c r="K130" s="320"/>
      <c r="L130" s="320"/>
      <c r="M130" s="320"/>
      <c r="N130" s="320"/>
    </row>
    <row r="131" spans="1:14" ht="12.75" customHeight="1">
      <c r="A131" s="24">
        <v>11910</v>
      </c>
      <c r="B131" s="24">
        <v>27</v>
      </c>
      <c r="N131" s="24">
        <v>11910</v>
      </c>
    </row>
    <row r="132" spans="1:14" ht="12.75" customHeight="1">
      <c r="A132" s="24">
        <v>11911</v>
      </c>
      <c r="N132" s="24">
        <v>11911</v>
      </c>
    </row>
    <row r="133" spans="1:14" ht="12.75" customHeight="1">
      <c r="A133" s="36" t="s">
        <v>435</v>
      </c>
      <c r="B133" s="61" t="s">
        <v>126</v>
      </c>
      <c r="C133" s="40"/>
      <c r="D133" s="36" t="s">
        <v>436</v>
      </c>
      <c r="E133" s="39" t="s">
        <v>449</v>
      </c>
      <c r="F133" s="40"/>
      <c r="G133" s="41" t="s">
        <v>455</v>
      </c>
      <c r="H133" s="167" t="s">
        <v>1171</v>
      </c>
      <c r="I133" s="40"/>
      <c r="J133" s="41" t="s">
        <v>456</v>
      </c>
      <c r="K133" s="61" t="s">
        <v>602</v>
      </c>
      <c r="L133" s="40"/>
      <c r="M133" s="40"/>
      <c r="N133" s="36" t="s">
        <v>435</v>
      </c>
    </row>
    <row r="134" spans="1:14" ht="12.75" customHeight="1">
      <c r="A134" s="26" t="s">
        <v>457</v>
      </c>
      <c r="B134" s="82" t="s">
        <v>458</v>
      </c>
      <c r="C134" s="82" t="s">
        <v>459</v>
      </c>
      <c r="D134" s="82" t="s">
        <v>440</v>
      </c>
      <c r="E134" s="159" t="s">
        <v>461</v>
      </c>
      <c r="F134" s="159" t="s">
        <v>462</v>
      </c>
      <c r="G134" s="159" t="s">
        <v>463</v>
      </c>
      <c r="H134" s="159" t="s">
        <v>464</v>
      </c>
      <c r="I134" s="159" t="s">
        <v>467</v>
      </c>
      <c r="J134" s="159" t="s">
        <v>466</v>
      </c>
      <c r="K134" s="159" t="s">
        <v>447</v>
      </c>
      <c r="L134" s="159" t="s">
        <v>469</v>
      </c>
      <c r="M134" s="82" t="s">
        <v>442</v>
      </c>
      <c r="N134" s="82" t="s">
        <v>439</v>
      </c>
    </row>
    <row r="135" spans="1:14" ht="12.75" customHeight="1">
      <c r="A135" s="82">
        <v>1271</v>
      </c>
      <c r="B135" s="199" t="s">
        <v>1957</v>
      </c>
      <c r="C135" s="199" t="s">
        <v>595</v>
      </c>
      <c r="D135" s="199" t="s">
        <v>603</v>
      </c>
      <c r="E135" s="179"/>
      <c r="F135" s="179"/>
      <c r="G135" s="179" t="s">
        <v>597</v>
      </c>
      <c r="H135" s="179" t="s">
        <v>597</v>
      </c>
      <c r="I135" s="179"/>
      <c r="J135" s="179"/>
      <c r="K135" s="179"/>
      <c r="L135" s="179"/>
      <c r="M135" s="199"/>
      <c r="N135" s="273" t="s">
        <v>1161</v>
      </c>
    </row>
    <row r="136" spans="1:14" ht="12.75" customHeight="1">
      <c r="A136" s="82">
        <v>1272</v>
      </c>
      <c r="B136" s="199" t="s">
        <v>1958</v>
      </c>
      <c r="C136" s="199" t="s">
        <v>595</v>
      </c>
      <c r="D136" s="199" t="s">
        <v>602</v>
      </c>
      <c r="E136" s="179"/>
      <c r="F136" s="179"/>
      <c r="G136" s="179"/>
      <c r="H136" s="179"/>
      <c r="I136" s="179"/>
      <c r="J136" s="179"/>
      <c r="K136" s="179" t="s">
        <v>597</v>
      </c>
      <c r="L136" s="179" t="s">
        <v>597</v>
      </c>
      <c r="M136" s="199"/>
      <c r="N136" s="274" t="s">
        <v>1162</v>
      </c>
    </row>
    <row r="137" spans="1:14" ht="12.75" customHeight="1">
      <c r="A137" s="82">
        <v>1273</v>
      </c>
      <c r="B137" s="199" t="s">
        <v>1959</v>
      </c>
      <c r="C137" s="199" t="s">
        <v>595</v>
      </c>
      <c r="D137" s="199" t="s">
        <v>602</v>
      </c>
      <c r="E137" s="179"/>
      <c r="F137" s="179"/>
      <c r="G137" s="179"/>
      <c r="H137" s="179"/>
      <c r="I137" s="179" t="s">
        <v>597</v>
      </c>
      <c r="J137" s="179" t="s">
        <v>597</v>
      </c>
      <c r="K137" s="179"/>
      <c r="L137" s="179"/>
      <c r="M137" s="199"/>
      <c r="N137" s="274" t="s">
        <v>1163</v>
      </c>
    </row>
    <row r="138" spans="1:14" ht="12.75" customHeight="1">
      <c r="A138" s="82">
        <v>1274</v>
      </c>
      <c r="B138" s="199" t="s">
        <v>1960</v>
      </c>
      <c r="C138" s="199" t="s">
        <v>595</v>
      </c>
      <c r="D138" s="199" t="s">
        <v>1169</v>
      </c>
      <c r="E138" s="179" t="s">
        <v>597</v>
      </c>
      <c r="F138" s="179" t="s">
        <v>597</v>
      </c>
      <c r="G138" s="179"/>
      <c r="H138" s="179"/>
      <c r="I138" s="179"/>
      <c r="J138" s="179"/>
      <c r="K138" s="179"/>
      <c r="L138" s="179"/>
      <c r="M138" s="199"/>
      <c r="N138" s="274" t="s">
        <v>1164</v>
      </c>
    </row>
    <row r="139" spans="1:14" ht="12.75" customHeight="1">
      <c r="A139" s="82">
        <v>1275</v>
      </c>
      <c r="B139" s="199" t="s">
        <v>1961</v>
      </c>
      <c r="C139" s="199" t="s">
        <v>596</v>
      </c>
      <c r="D139" s="199" t="s">
        <v>602</v>
      </c>
      <c r="E139" s="179"/>
      <c r="F139" s="179"/>
      <c r="G139" s="179" t="s">
        <v>597</v>
      </c>
      <c r="H139" s="179" t="s">
        <v>597</v>
      </c>
      <c r="I139" s="179"/>
      <c r="J139" s="179"/>
      <c r="K139" s="179"/>
      <c r="L139" s="179"/>
      <c r="M139" s="199"/>
      <c r="N139" s="274" t="s">
        <v>1165</v>
      </c>
    </row>
    <row r="140" spans="1:14" ht="12.75" customHeight="1">
      <c r="A140" s="82">
        <v>1276</v>
      </c>
      <c r="B140" s="199" t="s">
        <v>1962</v>
      </c>
      <c r="C140" s="199" t="s">
        <v>596</v>
      </c>
      <c r="D140" s="199" t="s">
        <v>602</v>
      </c>
      <c r="E140" s="179"/>
      <c r="F140" s="179"/>
      <c r="G140" s="179"/>
      <c r="H140" s="179"/>
      <c r="I140" s="179"/>
      <c r="J140" s="179"/>
      <c r="K140" s="179" t="s">
        <v>597</v>
      </c>
      <c r="L140" s="179" t="s">
        <v>597</v>
      </c>
      <c r="M140" s="199"/>
      <c r="N140" s="274" t="s">
        <v>1166</v>
      </c>
    </row>
    <row r="141" spans="1:14" ht="12.75" customHeight="1">
      <c r="A141" s="82">
        <v>1277</v>
      </c>
      <c r="B141" s="199" t="s">
        <v>1963</v>
      </c>
      <c r="C141" s="199" t="s">
        <v>596</v>
      </c>
      <c r="D141" s="199" t="s">
        <v>1170</v>
      </c>
      <c r="E141" s="179" t="s">
        <v>597</v>
      </c>
      <c r="F141" s="179" t="s">
        <v>597</v>
      </c>
      <c r="G141" s="179"/>
      <c r="H141" s="179"/>
      <c r="I141" s="179"/>
      <c r="J141" s="179"/>
      <c r="K141" s="179"/>
      <c r="L141" s="179"/>
      <c r="M141" s="199"/>
      <c r="N141" s="274" t="s">
        <v>1167</v>
      </c>
    </row>
    <row r="142" spans="1:14" ht="12.75" customHeight="1">
      <c r="A142" s="82">
        <v>1278</v>
      </c>
      <c r="B142" s="199" t="s">
        <v>1964</v>
      </c>
      <c r="C142" s="199" t="s">
        <v>596</v>
      </c>
      <c r="D142" s="199" t="s">
        <v>602</v>
      </c>
      <c r="E142" s="179"/>
      <c r="F142" s="179"/>
      <c r="G142" s="179"/>
      <c r="H142" s="179"/>
      <c r="I142" s="179" t="s">
        <v>597</v>
      </c>
      <c r="J142" s="179" t="s">
        <v>597</v>
      </c>
      <c r="K142" s="179"/>
      <c r="L142" s="179"/>
      <c r="M142" s="199"/>
      <c r="N142" s="274" t="s">
        <v>1168</v>
      </c>
    </row>
    <row r="143" spans="1:14" ht="12.75" customHeight="1">
      <c r="A143" s="320">
        <v>1209</v>
      </c>
      <c r="B143" s="320"/>
      <c r="C143" s="320"/>
      <c r="D143" s="320"/>
      <c r="E143" s="320"/>
      <c r="F143" s="320"/>
      <c r="G143" s="320"/>
      <c r="H143" s="320"/>
      <c r="I143" s="320"/>
      <c r="J143" s="320"/>
      <c r="K143" s="320"/>
      <c r="L143" s="320"/>
      <c r="M143" s="320"/>
      <c r="N143" s="320"/>
    </row>
    <row r="144" spans="1:14" ht="12.75" customHeight="1">
      <c r="A144" s="24">
        <v>12010</v>
      </c>
      <c r="B144" s="24">
        <v>21</v>
      </c>
      <c r="N144" s="24">
        <v>12010</v>
      </c>
    </row>
    <row r="145" spans="1:14" ht="12.75" customHeight="1">
      <c r="A145" s="24">
        <v>12011</v>
      </c>
      <c r="N145" s="24">
        <v>12011</v>
      </c>
    </row>
    <row r="146" spans="1:14" ht="12.75" customHeight="1" thickBot="1">
      <c r="A146" s="36" t="s">
        <v>435</v>
      </c>
      <c r="B146" s="61" t="s">
        <v>127</v>
      </c>
      <c r="C146" s="40"/>
      <c r="D146" s="36" t="s">
        <v>436</v>
      </c>
      <c r="E146" s="39" t="s">
        <v>449</v>
      </c>
      <c r="F146" s="40"/>
      <c r="G146" s="41" t="s">
        <v>455</v>
      </c>
      <c r="H146" s="166" t="s">
        <v>1186</v>
      </c>
      <c r="I146" s="40"/>
      <c r="J146" s="41" t="s">
        <v>456</v>
      </c>
      <c r="K146" s="166" t="s">
        <v>619</v>
      </c>
      <c r="L146" s="40"/>
      <c r="M146" s="40"/>
      <c r="N146" s="36" t="s">
        <v>435</v>
      </c>
    </row>
    <row r="147" spans="1:14" ht="12.75" customHeight="1" thickTop="1">
      <c r="A147" s="26" t="s">
        <v>457</v>
      </c>
      <c r="B147" s="43" t="s">
        <v>458</v>
      </c>
      <c r="C147" s="44" t="s">
        <v>459</v>
      </c>
      <c r="D147" s="45" t="s">
        <v>440</v>
      </c>
      <c r="E147" s="46" t="s">
        <v>461</v>
      </c>
      <c r="F147" s="46" t="s">
        <v>462</v>
      </c>
      <c r="G147" s="46" t="s">
        <v>463</v>
      </c>
      <c r="H147" s="46" t="s">
        <v>464</v>
      </c>
      <c r="I147" s="46" t="s">
        <v>467</v>
      </c>
      <c r="J147" s="46" t="s">
        <v>466</v>
      </c>
      <c r="K147" s="46" t="s">
        <v>447</v>
      </c>
      <c r="L147" s="46" t="s">
        <v>469</v>
      </c>
      <c r="M147" s="47" t="s">
        <v>442</v>
      </c>
      <c r="N147" s="42" t="s">
        <v>439</v>
      </c>
    </row>
    <row r="148" spans="1:14" ht="12.75" customHeight="1">
      <c r="A148" s="158">
        <v>1211</v>
      </c>
      <c r="B148" s="179" t="s">
        <v>1969</v>
      </c>
      <c r="C148" s="180" t="s">
        <v>595</v>
      </c>
      <c r="D148" s="182" t="s">
        <v>620</v>
      </c>
      <c r="E148" s="179"/>
      <c r="F148" s="179"/>
      <c r="G148" s="276" t="s">
        <v>597</v>
      </c>
      <c r="H148" s="276" t="s">
        <v>597</v>
      </c>
      <c r="I148" s="179"/>
      <c r="J148" s="179"/>
      <c r="K148" s="179"/>
      <c r="L148" s="183"/>
      <c r="M148" s="210"/>
      <c r="N148" s="275" t="s">
        <v>1172</v>
      </c>
    </row>
    <row r="149" spans="1:14" ht="12.75" customHeight="1">
      <c r="A149" s="158">
        <v>1212</v>
      </c>
      <c r="B149" s="179" t="s">
        <v>1970</v>
      </c>
      <c r="C149" s="180" t="s">
        <v>595</v>
      </c>
      <c r="D149" s="182" t="s">
        <v>620</v>
      </c>
      <c r="E149" s="179"/>
      <c r="F149" s="179"/>
      <c r="G149" s="179"/>
      <c r="H149" s="179"/>
      <c r="I149" s="276" t="s">
        <v>597</v>
      </c>
      <c r="J149" s="179"/>
      <c r="K149" s="276" t="s">
        <v>597</v>
      </c>
      <c r="L149" s="183"/>
      <c r="M149" s="210"/>
      <c r="N149" s="275" t="s">
        <v>622</v>
      </c>
    </row>
    <row r="150" spans="1:14" ht="12.75" customHeight="1">
      <c r="A150" s="151" t="s">
        <v>1971</v>
      </c>
      <c r="B150" s="179" t="s">
        <v>1972</v>
      </c>
      <c r="C150" s="180" t="s">
        <v>595</v>
      </c>
      <c r="D150" s="182" t="s">
        <v>620</v>
      </c>
      <c r="E150" s="276" t="s">
        <v>597</v>
      </c>
      <c r="F150" s="179" t="s">
        <v>597</v>
      </c>
      <c r="G150" s="179"/>
      <c r="H150" s="179"/>
      <c r="I150" s="179"/>
      <c r="J150" s="179"/>
      <c r="K150" s="179"/>
      <c r="L150" s="183"/>
      <c r="M150" s="210"/>
      <c r="N150" s="275" t="s">
        <v>1173</v>
      </c>
    </row>
    <row r="151" spans="1:14" ht="12.75" customHeight="1">
      <c r="A151" s="151" t="s">
        <v>1973</v>
      </c>
      <c r="B151" s="179" t="s">
        <v>1974</v>
      </c>
      <c r="C151" s="180" t="s">
        <v>595</v>
      </c>
      <c r="D151" s="182" t="s">
        <v>620</v>
      </c>
      <c r="E151" s="179"/>
      <c r="F151" s="179"/>
      <c r="G151" s="179"/>
      <c r="H151" s="179"/>
      <c r="I151" s="179"/>
      <c r="J151" s="179" t="s">
        <v>597</v>
      </c>
      <c r="K151" s="179"/>
      <c r="L151" s="183" t="s">
        <v>597</v>
      </c>
      <c r="M151" s="210"/>
      <c r="N151" s="275" t="s">
        <v>621</v>
      </c>
    </row>
    <row r="152" spans="1:14" ht="12.75" customHeight="1">
      <c r="A152" s="151" t="s">
        <v>1975</v>
      </c>
      <c r="B152" s="185" t="s">
        <v>1976</v>
      </c>
      <c r="C152" s="186" t="s">
        <v>596</v>
      </c>
      <c r="D152" s="182" t="s">
        <v>619</v>
      </c>
      <c r="E152" s="179"/>
      <c r="F152" s="179"/>
      <c r="G152" s="179"/>
      <c r="H152" s="179"/>
      <c r="I152" s="179" t="s">
        <v>597</v>
      </c>
      <c r="J152" s="179" t="s">
        <v>597</v>
      </c>
      <c r="L152" s="183"/>
      <c r="M152" s="210"/>
      <c r="N152" s="275" t="s">
        <v>1174</v>
      </c>
    </row>
    <row r="153" spans="1:14" ht="12.75" customHeight="1">
      <c r="A153" s="151" t="s">
        <v>1977</v>
      </c>
      <c r="B153" s="185" t="s">
        <v>1978</v>
      </c>
      <c r="C153" s="186" t="s">
        <v>596</v>
      </c>
      <c r="D153" s="182" t="s">
        <v>619</v>
      </c>
      <c r="E153" s="179"/>
      <c r="F153" s="179"/>
      <c r="G153" s="179" t="s">
        <v>597</v>
      </c>
      <c r="H153" s="179" t="s">
        <v>597</v>
      </c>
      <c r="I153" s="179"/>
      <c r="J153" s="179"/>
      <c r="K153" s="179"/>
      <c r="L153" s="183"/>
      <c r="M153" s="210"/>
      <c r="N153" s="275" t="s">
        <v>1175</v>
      </c>
    </row>
    <row r="154" spans="1:14" ht="12.75" customHeight="1">
      <c r="A154" s="151" t="s">
        <v>1979</v>
      </c>
      <c r="B154" s="185" t="s">
        <v>1980</v>
      </c>
      <c r="C154" s="186" t="s">
        <v>596</v>
      </c>
      <c r="D154" s="182" t="s">
        <v>619</v>
      </c>
      <c r="E154" s="179" t="s">
        <v>597</v>
      </c>
      <c r="F154" s="276" t="s">
        <v>597</v>
      </c>
      <c r="G154" s="179"/>
      <c r="H154" s="179"/>
      <c r="I154" s="179"/>
      <c r="J154" s="179"/>
      <c r="K154" s="179"/>
      <c r="L154" s="183"/>
      <c r="M154" s="210"/>
      <c r="N154" s="275" t="s">
        <v>1176</v>
      </c>
    </row>
    <row r="155" spans="1:14" ht="12.75" customHeight="1" thickBot="1">
      <c r="A155" s="151" t="s">
        <v>1981</v>
      </c>
      <c r="B155" s="179" t="s">
        <v>1982</v>
      </c>
      <c r="C155" s="180" t="s">
        <v>596</v>
      </c>
      <c r="D155" s="182" t="s">
        <v>619</v>
      </c>
      <c r="E155" s="179"/>
      <c r="F155" s="179"/>
      <c r="G155" s="179"/>
      <c r="H155" s="179"/>
      <c r="I155" s="179"/>
      <c r="J155"/>
      <c r="K155" s="179" t="s">
        <v>597</v>
      </c>
      <c r="L155" s="183" t="s">
        <v>597</v>
      </c>
      <c r="M155" s="212"/>
      <c r="N155" s="275" t="s">
        <v>1177</v>
      </c>
    </row>
    <row r="156" spans="1:14" ht="12.75" customHeight="1" thickTop="1">
      <c r="A156" s="320">
        <v>1219</v>
      </c>
      <c r="B156" s="320"/>
      <c r="C156" s="320"/>
      <c r="D156" s="320"/>
      <c r="E156" s="320"/>
      <c r="F156" s="320"/>
      <c r="G156" s="320"/>
      <c r="H156" s="320"/>
      <c r="I156" s="320"/>
      <c r="J156" s="320"/>
      <c r="K156" s="320"/>
      <c r="L156" s="320"/>
      <c r="M156" s="320"/>
      <c r="N156" s="320"/>
    </row>
    <row r="157" spans="1:14" ht="12.75" customHeight="1">
      <c r="A157" s="24">
        <v>12110</v>
      </c>
      <c r="B157" s="24">
        <v>22</v>
      </c>
      <c r="N157" s="24">
        <v>12110</v>
      </c>
    </row>
    <row r="158" spans="1:14" ht="12.75" customHeight="1">
      <c r="A158" s="32">
        <v>12111</v>
      </c>
      <c r="B158" s="32"/>
      <c r="D158" s="32"/>
      <c r="E158" s="32"/>
      <c r="F158" s="32"/>
      <c r="G158" s="32"/>
      <c r="H158" s="32"/>
      <c r="I158" s="32"/>
      <c r="J158" s="32"/>
      <c r="K158" s="32"/>
      <c r="L158" s="32"/>
      <c r="M158" s="32"/>
      <c r="N158" s="32">
        <v>12111</v>
      </c>
    </row>
    <row r="159" spans="1:14" ht="12.75" customHeight="1">
      <c r="A159" s="29">
        <v>12112</v>
      </c>
      <c r="B159" s="29" t="s">
        <v>128</v>
      </c>
      <c r="D159" s="321" t="s">
        <v>448</v>
      </c>
      <c r="E159" s="321"/>
      <c r="F159" s="321"/>
      <c r="G159" s="29" t="s">
        <v>475</v>
      </c>
      <c r="H159" s="166" t="s">
        <v>637</v>
      </c>
      <c r="I159" s="29"/>
      <c r="J159" s="29" t="s">
        <v>476</v>
      </c>
      <c r="K159" s="166" t="s">
        <v>637</v>
      </c>
      <c r="L159" s="29"/>
      <c r="M159" s="32"/>
      <c r="N159" s="29">
        <v>12112</v>
      </c>
    </row>
    <row r="160" spans="1:14" ht="12.75" customHeight="1">
      <c r="A160" s="125" t="s">
        <v>439</v>
      </c>
      <c r="B160" s="126" t="s">
        <v>458</v>
      </c>
      <c r="C160" s="126" t="s">
        <v>459</v>
      </c>
      <c r="D160" s="126" t="s">
        <v>446</v>
      </c>
      <c r="E160" s="126" t="s">
        <v>461</v>
      </c>
      <c r="F160" s="126" t="s">
        <v>462</v>
      </c>
      <c r="G160" s="126" t="s">
        <v>463</v>
      </c>
      <c r="H160" s="126" t="s">
        <v>464</v>
      </c>
      <c r="I160" s="126" t="s">
        <v>466</v>
      </c>
      <c r="J160" s="126" t="s">
        <v>467</v>
      </c>
      <c r="K160" s="126" t="s">
        <v>447</v>
      </c>
      <c r="L160" s="126" t="s">
        <v>469</v>
      </c>
      <c r="M160" s="126" t="s">
        <v>442</v>
      </c>
      <c r="N160" s="125" t="s">
        <v>439</v>
      </c>
    </row>
    <row r="161" spans="1:14" ht="12.75" customHeight="1">
      <c r="A161" s="127">
        <v>1221</v>
      </c>
      <c r="B161" s="179" t="s">
        <v>1987</v>
      </c>
      <c r="C161" s="180" t="s">
        <v>595</v>
      </c>
      <c r="D161" s="182" t="s">
        <v>630</v>
      </c>
      <c r="E161" s="179"/>
      <c r="F161" s="179" t="s">
        <v>597</v>
      </c>
      <c r="G161" s="179" t="s">
        <v>597</v>
      </c>
      <c r="H161" s="179"/>
      <c r="I161" s="179"/>
      <c r="J161" s="179"/>
      <c r="K161" s="179"/>
      <c r="L161" s="183"/>
      <c r="M161" s="128"/>
      <c r="N161" s="162" t="s">
        <v>1178</v>
      </c>
    </row>
    <row r="162" spans="1:14" ht="12.75" customHeight="1">
      <c r="A162" s="127">
        <v>1222</v>
      </c>
      <c r="B162" s="179" t="s">
        <v>1988</v>
      </c>
      <c r="C162" s="180" t="s">
        <v>595</v>
      </c>
      <c r="D162" s="182" t="s">
        <v>630</v>
      </c>
      <c r="E162" s="179"/>
      <c r="F162" s="179"/>
      <c r="G162" s="179"/>
      <c r="H162" s="179"/>
      <c r="I162" s="179"/>
      <c r="J162" s="179"/>
      <c r="K162" s="179" t="s">
        <v>597</v>
      </c>
      <c r="L162" s="183" t="s">
        <v>597</v>
      </c>
      <c r="M162" s="128"/>
      <c r="N162" s="162" t="s">
        <v>1179</v>
      </c>
    </row>
    <row r="163" spans="1:14" ht="12.75" customHeight="1">
      <c r="A163" s="127">
        <v>1223</v>
      </c>
      <c r="B163" s="179" t="s">
        <v>1989</v>
      </c>
      <c r="C163" s="180" t="s">
        <v>595</v>
      </c>
      <c r="D163" s="182" t="s">
        <v>630</v>
      </c>
      <c r="E163" s="179"/>
      <c r="F163" s="179"/>
      <c r="G163" s="179"/>
      <c r="H163" s="179"/>
      <c r="I163" s="179" t="s">
        <v>597</v>
      </c>
      <c r="J163" s="179" t="s">
        <v>597</v>
      </c>
      <c r="K163" s="179"/>
      <c r="L163" s="183"/>
      <c r="M163" s="128"/>
      <c r="N163" s="162" t="s">
        <v>1180</v>
      </c>
    </row>
    <row r="164" spans="1:14" ht="12.75" customHeight="1">
      <c r="A164" s="127">
        <v>1224</v>
      </c>
      <c r="B164" s="277" t="s">
        <v>1990</v>
      </c>
      <c r="C164" s="180" t="s">
        <v>595</v>
      </c>
      <c r="D164" s="182" t="s">
        <v>630</v>
      </c>
      <c r="E164" s="179" t="s">
        <v>597</v>
      </c>
      <c r="F164" s="179"/>
      <c r="G164" s="179"/>
      <c r="H164" s="179" t="s">
        <v>597</v>
      </c>
      <c r="I164" s="179"/>
      <c r="J164" s="179"/>
      <c r="K164" s="179"/>
      <c r="L164" s="183"/>
      <c r="M164" s="128"/>
      <c r="N164" s="162" t="s">
        <v>1181</v>
      </c>
    </row>
    <row r="165" spans="1:14" ht="12.75" customHeight="1">
      <c r="A165" s="127">
        <v>1225</v>
      </c>
      <c r="B165" s="185" t="s">
        <v>1991</v>
      </c>
      <c r="C165" s="186" t="s">
        <v>596</v>
      </c>
      <c r="D165" s="184" t="s">
        <v>630</v>
      </c>
      <c r="E165" s="185"/>
      <c r="F165" s="185" t="s">
        <v>597</v>
      </c>
      <c r="G165"/>
      <c r="H165" s="185"/>
      <c r="I165" s="185" t="s">
        <v>597</v>
      </c>
      <c r="J165" s="185"/>
      <c r="K165" s="185"/>
      <c r="L165" s="187"/>
      <c r="M165" s="128"/>
      <c r="N165" s="162" t="s">
        <v>1182</v>
      </c>
    </row>
    <row r="166" spans="1:14" ht="12.75" customHeight="1">
      <c r="A166" s="127">
        <v>1226</v>
      </c>
      <c r="B166" s="179" t="s">
        <v>1992</v>
      </c>
      <c r="C166" s="180" t="s">
        <v>596</v>
      </c>
      <c r="D166" s="182" t="s">
        <v>630</v>
      </c>
      <c r="E166" s="179"/>
      <c r="F166" s="179"/>
      <c r="G166" s="179"/>
      <c r="H166" s="179"/>
      <c r="I166" s="179"/>
      <c r="J166" s="179" t="s">
        <v>597</v>
      </c>
      <c r="K166" s="179" t="s">
        <v>597</v>
      </c>
      <c r="L166" s="183"/>
      <c r="M166" s="128"/>
      <c r="N166" s="163" t="s">
        <v>1183</v>
      </c>
    </row>
    <row r="167" spans="1:14" ht="12.75" customHeight="1">
      <c r="A167" s="127">
        <v>1227</v>
      </c>
      <c r="B167" s="179" t="s">
        <v>1993</v>
      </c>
      <c r="C167" s="180" t="s">
        <v>596</v>
      </c>
      <c r="D167" s="182" t="s">
        <v>630</v>
      </c>
      <c r="E167" s="179"/>
      <c r="F167" s="179"/>
      <c r="G167" s="179"/>
      <c r="H167" s="179"/>
      <c r="I167" s="179"/>
      <c r="J167" s="179"/>
      <c r="K167" s="179"/>
      <c r="L167" s="183" t="s">
        <v>597</v>
      </c>
      <c r="M167" s="128"/>
      <c r="N167" s="162" t="s">
        <v>1184</v>
      </c>
    </row>
    <row r="168" spans="1:14" ht="12.75" customHeight="1" thickBot="1">
      <c r="A168" s="127">
        <v>1228</v>
      </c>
      <c r="B168" s="188" t="s">
        <v>1994</v>
      </c>
      <c r="C168" s="189" t="s">
        <v>596</v>
      </c>
      <c r="D168" s="188" t="s">
        <v>630</v>
      </c>
      <c r="E168" s="188" t="s">
        <v>597</v>
      </c>
      <c r="F168" s="188"/>
      <c r="G168" s="188" t="s">
        <v>597</v>
      </c>
      <c r="H168" s="188"/>
      <c r="I168" s="188"/>
      <c r="J168" s="188"/>
      <c r="K168" s="188"/>
      <c r="L168" s="205"/>
      <c r="M168" s="129"/>
      <c r="N168" s="164" t="s">
        <v>1185</v>
      </c>
    </row>
    <row r="169" spans="1:14" ht="12.75" customHeight="1" thickTop="1">
      <c r="A169" s="320">
        <v>1229</v>
      </c>
      <c r="B169" s="320"/>
      <c r="C169" s="320"/>
      <c r="D169" s="320"/>
      <c r="E169" s="320"/>
      <c r="F169" s="320"/>
      <c r="G169" s="320"/>
      <c r="H169" s="320"/>
      <c r="I169" s="320"/>
      <c r="J169" s="320"/>
      <c r="K169" s="320"/>
      <c r="L169" s="320"/>
      <c r="M169" s="320"/>
      <c r="N169" s="320"/>
    </row>
    <row r="170" spans="1:14" ht="12.75" customHeight="1">
      <c r="A170" s="24">
        <v>12210</v>
      </c>
      <c r="B170" s="24">
        <v>23</v>
      </c>
      <c r="N170" s="24">
        <v>12210</v>
      </c>
    </row>
    <row r="171" spans="1:14" ht="12.75" customHeight="1">
      <c r="A171" s="24">
        <v>12211</v>
      </c>
      <c r="N171" s="24">
        <v>12211</v>
      </c>
    </row>
    <row r="172" spans="1:14" ht="12.75" customHeight="1" thickBot="1">
      <c r="A172" s="36" t="s">
        <v>435</v>
      </c>
      <c r="B172" s="39" t="s">
        <v>129</v>
      </c>
      <c r="C172" s="40"/>
      <c r="D172" s="36" t="s">
        <v>436</v>
      </c>
      <c r="E172" s="39" t="s">
        <v>449</v>
      </c>
      <c r="F172" s="40"/>
      <c r="G172" s="41" t="s">
        <v>407</v>
      </c>
      <c r="H172" s="39" t="s">
        <v>1196</v>
      </c>
      <c r="I172" s="40"/>
      <c r="J172" s="41" t="s">
        <v>408</v>
      </c>
      <c r="K172" s="39" t="s">
        <v>1197</v>
      </c>
      <c r="L172" s="40"/>
      <c r="M172" s="40"/>
      <c r="N172" s="36" t="s">
        <v>435</v>
      </c>
    </row>
    <row r="173" spans="1:14" ht="12.75" customHeight="1" thickTop="1">
      <c r="A173" s="42" t="s">
        <v>439</v>
      </c>
      <c r="B173" s="43" t="s">
        <v>458</v>
      </c>
      <c r="C173" s="44" t="s">
        <v>459</v>
      </c>
      <c r="D173" s="45" t="s">
        <v>440</v>
      </c>
      <c r="E173" s="46" t="s">
        <v>461</v>
      </c>
      <c r="F173" s="46" t="s">
        <v>462</v>
      </c>
      <c r="G173" s="46" t="s">
        <v>463</v>
      </c>
      <c r="H173" s="46" t="s">
        <v>464</v>
      </c>
      <c r="I173" s="46" t="s">
        <v>467</v>
      </c>
      <c r="J173" s="46" t="s">
        <v>466</v>
      </c>
      <c r="K173" s="46" t="s">
        <v>447</v>
      </c>
      <c r="L173" s="46" t="s">
        <v>469</v>
      </c>
      <c r="M173" s="47" t="s">
        <v>442</v>
      </c>
      <c r="N173" s="42" t="s">
        <v>439</v>
      </c>
    </row>
    <row r="174" spans="1:14" ht="12.75" customHeight="1">
      <c r="A174" s="154" t="s">
        <v>1999</v>
      </c>
      <c r="B174" s="179" t="s">
        <v>2000</v>
      </c>
      <c r="C174" s="180" t="s">
        <v>595</v>
      </c>
      <c r="D174" s="200" t="s">
        <v>1195</v>
      </c>
      <c r="E174" s="199"/>
      <c r="F174" s="199"/>
      <c r="G174" s="199"/>
      <c r="I174" s="199" t="s">
        <v>597</v>
      </c>
      <c r="J174" s="199"/>
      <c r="K174" s="199" t="s">
        <v>597</v>
      </c>
      <c r="L174" s="183"/>
      <c r="M174" s="181"/>
      <c r="N174" s="241" t="s">
        <v>1187</v>
      </c>
    </row>
    <row r="175" spans="1:14" ht="12.75" customHeight="1">
      <c r="A175" s="154" t="s">
        <v>2001</v>
      </c>
      <c r="B175" s="179" t="s">
        <v>2002</v>
      </c>
      <c r="C175" s="180" t="s">
        <v>595</v>
      </c>
      <c r="D175" s="200" t="s">
        <v>1195</v>
      </c>
      <c r="E175" s="199" t="s">
        <v>597</v>
      </c>
      <c r="F175" s="199"/>
      <c r="G175" s="199" t="s">
        <v>597</v>
      </c>
      <c r="H175" s="199"/>
      <c r="I175" s="199"/>
      <c r="J175" s="199"/>
      <c r="K175" s="199"/>
      <c r="L175" s="183"/>
      <c r="M175" s="181"/>
      <c r="N175" s="241" t="s">
        <v>1188</v>
      </c>
    </row>
    <row r="176" spans="1:14" ht="12.75" customHeight="1">
      <c r="A176" s="154" t="s">
        <v>2003</v>
      </c>
      <c r="B176" s="179" t="s">
        <v>2004</v>
      </c>
      <c r="C176" s="180" t="s">
        <v>595</v>
      </c>
      <c r="D176" s="200" t="s">
        <v>1195</v>
      </c>
      <c r="E176" s="199"/>
      <c r="F176" s="199" t="s">
        <v>597</v>
      </c>
      <c r="G176" s="199"/>
      <c r="H176" s="199"/>
      <c r="I176" s="199"/>
      <c r="J176" s="199"/>
      <c r="K176" s="199"/>
      <c r="L176" s="199" t="s">
        <v>597</v>
      </c>
      <c r="M176" s="181"/>
      <c r="N176" s="241" t="s">
        <v>1189</v>
      </c>
    </row>
    <row r="177" spans="1:14" ht="12.75" customHeight="1" thickBot="1">
      <c r="A177" s="155" t="s">
        <v>2005</v>
      </c>
      <c r="B177" s="188" t="s">
        <v>2006</v>
      </c>
      <c r="C177" s="189" t="s">
        <v>595</v>
      </c>
      <c r="D177" s="200" t="s">
        <v>1195</v>
      </c>
      <c r="E177" s="199"/>
      <c r="F177" s="199"/>
      <c r="G177" s="199"/>
      <c r="H177" s="199" t="s">
        <v>597</v>
      </c>
      <c r="I177" s="199"/>
      <c r="J177" s="199" t="s">
        <v>597</v>
      </c>
      <c r="K177" s="199"/>
      <c r="L177" s="183"/>
      <c r="M177" s="181"/>
      <c r="N177" s="242" t="s">
        <v>1190</v>
      </c>
    </row>
    <row r="178" spans="1:14" ht="12.75" customHeight="1" thickTop="1">
      <c r="A178" s="156" t="s">
        <v>2007</v>
      </c>
      <c r="B178" s="185" t="s">
        <v>2008</v>
      </c>
      <c r="C178" s="186" t="s">
        <v>596</v>
      </c>
      <c r="D178" s="200" t="s">
        <v>1195</v>
      </c>
      <c r="E178" s="203"/>
      <c r="F178" s="203" t="s">
        <v>597</v>
      </c>
      <c r="G178" s="203"/>
      <c r="H178" s="203"/>
      <c r="I178" s="203"/>
      <c r="J178" s="203"/>
      <c r="K178" s="203" t="s">
        <v>597</v>
      </c>
      <c r="L178" s="187"/>
      <c r="M178" s="181"/>
      <c r="N178" s="243" t="s">
        <v>1191</v>
      </c>
    </row>
    <row r="179" spans="1:14" ht="12.75" customHeight="1">
      <c r="A179" s="154" t="s">
        <v>2009</v>
      </c>
      <c r="B179" s="179" t="s">
        <v>2010</v>
      </c>
      <c r="C179" s="180" t="s">
        <v>596</v>
      </c>
      <c r="D179" s="200" t="s">
        <v>1195</v>
      </c>
      <c r="E179" s="199" t="s">
        <v>597</v>
      </c>
      <c r="F179" s="199"/>
      <c r="G179" s="199"/>
      <c r="H179" s="199"/>
      <c r="I179" s="199" t="s">
        <v>597</v>
      </c>
      <c r="J179" s="199"/>
      <c r="K179" s="199"/>
      <c r="L179" s="183"/>
      <c r="M179" s="181"/>
      <c r="N179" s="241" t="s">
        <v>1192</v>
      </c>
    </row>
    <row r="180" spans="1:14" ht="12.75" customHeight="1">
      <c r="A180" s="154" t="s">
        <v>2011</v>
      </c>
      <c r="B180" s="179" t="s">
        <v>2012</v>
      </c>
      <c r="C180" s="180" t="s">
        <v>596</v>
      </c>
      <c r="D180" s="200" t="s">
        <v>1195</v>
      </c>
      <c r="E180" s="199"/>
      <c r="F180" s="199"/>
      <c r="G180" s="199" t="s">
        <v>597</v>
      </c>
      <c r="H180" s="199"/>
      <c r="I180" s="199"/>
      <c r="J180" s="199"/>
      <c r="K180" s="199"/>
      <c r="L180" s="199" t="s">
        <v>597</v>
      </c>
      <c r="M180" s="181"/>
      <c r="N180" s="241" t="s">
        <v>1193</v>
      </c>
    </row>
    <row r="181" spans="1:14" ht="12.75" customHeight="1" thickBot="1">
      <c r="A181" s="155" t="s">
        <v>2013</v>
      </c>
      <c r="B181" s="188" t="s">
        <v>2014</v>
      </c>
      <c r="C181" s="189" t="s">
        <v>596</v>
      </c>
      <c r="D181" s="200" t="s">
        <v>1195</v>
      </c>
      <c r="E181" s="202"/>
      <c r="F181" s="202"/>
      <c r="G181" s="202"/>
      <c r="H181" s="202" t="s">
        <v>597</v>
      </c>
      <c r="I181" s="202"/>
      <c r="J181" s="202" t="s">
        <v>597</v>
      </c>
      <c r="K181" s="202"/>
      <c r="L181" s="205"/>
      <c r="M181" s="194"/>
      <c r="N181" s="242" t="s">
        <v>1194</v>
      </c>
    </row>
    <row r="182" spans="1:14" ht="12.75" customHeight="1" thickTop="1">
      <c r="A182" s="320">
        <v>1239</v>
      </c>
      <c r="B182" s="320"/>
      <c r="C182" s="320"/>
      <c r="D182" s="320"/>
      <c r="E182" s="320"/>
      <c r="F182" s="320"/>
      <c r="G182" s="320"/>
      <c r="H182" s="320"/>
      <c r="I182" s="320"/>
      <c r="J182" s="320"/>
      <c r="K182" s="320"/>
      <c r="L182" s="320"/>
      <c r="M182" s="320"/>
      <c r="N182" s="320"/>
    </row>
    <row r="183" spans="1:14" ht="12.75" customHeight="1">
      <c r="B183" s="24">
        <v>24</v>
      </c>
    </row>
    <row r="185" spans="1:14" ht="12.75" customHeight="1">
      <c r="B185" s="24" t="s">
        <v>130</v>
      </c>
      <c r="D185" s="24" t="s">
        <v>473</v>
      </c>
      <c r="G185" s="24" t="s">
        <v>407</v>
      </c>
      <c r="H185" s="24" t="s">
        <v>671</v>
      </c>
      <c r="J185" s="24" t="s">
        <v>408</v>
      </c>
      <c r="K185" s="200" t="s">
        <v>670</v>
      </c>
    </row>
    <row r="186" spans="1:14" ht="12.75" customHeight="1">
      <c r="A186" s="26" t="s">
        <v>457</v>
      </c>
      <c r="B186" s="30" t="s">
        <v>458</v>
      </c>
      <c r="C186" s="27" t="s">
        <v>459</v>
      </c>
      <c r="D186" s="30" t="s">
        <v>460</v>
      </c>
      <c r="E186" s="28" t="s">
        <v>461</v>
      </c>
      <c r="F186" s="28" t="s">
        <v>462</v>
      </c>
      <c r="G186" s="28" t="s">
        <v>463</v>
      </c>
      <c r="H186" s="28" t="s">
        <v>464</v>
      </c>
      <c r="I186" s="28" t="s">
        <v>409</v>
      </c>
      <c r="J186" s="28" t="s">
        <v>466</v>
      </c>
      <c r="K186" s="28" t="s">
        <v>454</v>
      </c>
      <c r="L186" s="28" t="s">
        <v>410</v>
      </c>
      <c r="M186" s="28" t="s">
        <v>495</v>
      </c>
      <c r="N186" s="26" t="s">
        <v>457</v>
      </c>
    </row>
    <row r="187" spans="1:14" ht="12.75" customHeight="1">
      <c r="A187" s="30">
        <v>1241</v>
      </c>
      <c r="B187" s="180" t="s">
        <v>2019</v>
      </c>
      <c r="C187" s="180" t="s">
        <v>595</v>
      </c>
      <c r="D187" s="200" t="s">
        <v>670</v>
      </c>
      <c r="E187" s="199" t="s">
        <v>597</v>
      </c>
      <c r="F187" s="199" t="s">
        <v>597</v>
      </c>
      <c r="G187" s="199"/>
      <c r="H187" s="199"/>
      <c r="I187" s="199"/>
      <c r="J187" s="199"/>
      <c r="K187" s="199"/>
      <c r="L187" s="207"/>
      <c r="M187" s="199"/>
      <c r="N187" s="180" t="s">
        <v>1198</v>
      </c>
    </row>
    <row r="188" spans="1:14" ht="12.75" customHeight="1">
      <c r="A188" s="30">
        <v>1242</v>
      </c>
      <c r="B188" s="180" t="s">
        <v>2020</v>
      </c>
      <c r="C188" s="180" t="s">
        <v>595</v>
      </c>
      <c r="D188" s="200" t="s">
        <v>670</v>
      </c>
      <c r="E188" s="199"/>
      <c r="F188" s="199"/>
      <c r="G188" s="199" t="s">
        <v>597</v>
      </c>
      <c r="H188" s="199" t="s">
        <v>597</v>
      </c>
      <c r="I188" s="199"/>
      <c r="J188" s="199"/>
      <c r="K188" s="199"/>
      <c r="L188" s="207"/>
      <c r="M188" s="199"/>
      <c r="N188" s="180" t="s">
        <v>1199</v>
      </c>
    </row>
    <row r="189" spans="1:14" ht="12.75" customHeight="1">
      <c r="A189" s="30">
        <v>1243</v>
      </c>
      <c r="B189" s="180" t="s">
        <v>2021</v>
      </c>
      <c r="C189" s="180" t="s">
        <v>595</v>
      </c>
      <c r="D189" s="200" t="s">
        <v>670</v>
      </c>
      <c r="E189" s="199"/>
      <c r="F189" s="199"/>
      <c r="G189" s="199"/>
      <c r="H189" s="199"/>
      <c r="I189" s="199" t="s">
        <v>597</v>
      </c>
      <c r="J189" s="199" t="s">
        <v>597</v>
      </c>
      <c r="K189" s="199"/>
      <c r="L189" s="207"/>
      <c r="M189" s="210"/>
      <c r="N189" s="180" t="s">
        <v>1200</v>
      </c>
    </row>
    <row r="190" spans="1:14" ht="12.75" customHeight="1">
      <c r="A190" s="30">
        <v>1244</v>
      </c>
      <c r="B190" s="180" t="s">
        <v>2022</v>
      </c>
      <c r="C190" s="180" t="s">
        <v>595</v>
      </c>
      <c r="D190" s="200" t="s">
        <v>670</v>
      </c>
      <c r="E190" s="199"/>
      <c r="F190" s="199"/>
      <c r="G190" s="199"/>
      <c r="H190" s="199"/>
      <c r="I190" s="199"/>
      <c r="J190" s="199"/>
      <c r="K190" s="199" t="s">
        <v>597</v>
      </c>
      <c r="L190" s="207" t="s">
        <v>597</v>
      </c>
      <c r="M190" s="210"/>
      <c r="N190" s="180" t="s">
        <v>1201</v>
      </c>
    </row>
    <row r="191" spans="1:14" ht="12.75" customHeight="1">
      <c r="A191" s="30">
        <v>1245</v>
      </c>
      <c r="B191" s="180" t="s">
        <v>2023</v>
      </c>
      <c r="C191" s="186" t="s">
        <v>596</v>
      </c>
      <c r="D191" s="200" t="s">
        <v>670</v>
      </c>
      <c r="E191" s="199"/>
      <c r="F191" s="199"/>
      <c r="G191" s="199"/>
      <c r="H191" s="199"/>
      <c r="I191" s="199" t="s">
        <v>597</v>
      </c>
      <c r="J191" s="199"/>
      <c r="K191" s="199" t="s">
        <v>597</v>
      </c>
      <c r="L191" s="207"/>
      <c r="M191" s="199"/>
      <c r="N191" s="180" t="s">
        <v>1202</v>
      </c>
    </row>
    <row r="192" spans="1:14" ht="12.75" customHeight="1">
      <c r="A192" s="30">
        <v>1246</v>
      </c>
      <c r="B192" s="180" t="s">
        <v>2024</v>
      </c>
      <c r="C192" s="186" t="s">
        <v>596</v>
      </c>
      <c r="D192" s="200" t="s">
        <v>670</v>
      </c>
      <c r="E192" s="199"/>
      <c r="F192" s="199"/>
      <c r="G192" s="199" t="s">
        <v>597</v>
      </c>
      <c r="H192" s="199" t="s">
        <v>597</v>
      </c>
      <c r="I192" s="199"/>
      <c r="J192" s="199"/>
      <c r="K192" s="199"/>
      <c r="L192" s="207"/>
      <c r="M192" s="210"/>
      <c r="N192" s="180" t="s">
        <v>1203</v>
      </c>
    </row>
    <row r="193" spans="1:14" ht="12.75" customHeight="1">
      <c r="A193" s="30">
        <v>1247</v>
      </c>
      <c r="B193" s="180" t="s">
        <v>2025</v>
      </c>
      <c r="C193" s="186" t="s">
        <v>596</v>
      </c>
      <c r="D193" s="200" t="s">
        <v>670</v>
      </c>
      <c r="E193" s="199"/>
      <c r="F193" s="199"/>
      <c r="G193" s="199"/>
      <c r="H193" s="199"/>
      <c r="I193" s="199"/>
      <c r="J193" s="199"/>
      <c r="K193" s="199"/>
      <c r="L193" s="207" t="s">
        <v>597</v>
      </c>
      <c r="M193" s="199"/>
      <c r="N193" s="278" t="s">
        <v>1204</v>
      </c>
    </row>
    <row r="194" spans="1:14" ht="12.75" customHeight="1">
      <c r="A194" s="30">
        <v>1248</v>
      </c>
      <c r="B194" s="180" t="s">
        <v>2026</v>
      </c>
      <c r="C194" s="180" t="s">
        <v>596</v>
      </c>
      <c r="D194" s="200" t="s">
        <v>670</v>
      </c>
      <c r="E194" s="199" t="s">
        <v>597</v>
      </c>
      <c r="F194" s="199" t="s">
        <v>597</v>
      </c>
      <c r="G194" s="199"/>
      <c r="H194" s="199"/>
      <c r="I194" s="199"/>
      <c r="J194" s="199"/>
      <c r="K194" s="199"/>
      <c r="L194" s="207"/>
      <c r="M194" s="210"/>
      <c r="N194" s="180" t="s">
        <v>1205</v>
      </c>
    </row>
    <row r="195" spans="1:14" ht="12.75" customHeight="1">
      <c r="A195" s="320"/>
      <c r="B195" s="320"/>
      <c r="C195" s="320"/>
      <c r="D195" s="320"/>
      <c r="E195" s="320"/>
      <c r="F195" s="320"/>
      <c r="G195" s="320"/>
      <c r="H195" s="320"/>
      <c r="I195" s="320"/>
      <c r="J195" s="320"/>
      <c r="K195" s="320"/>
      <c r="L195" s="320"/>
      <c r="M195" s="320"/>
      <c r="N195" s="320"/>
    </row>
    <row r="196" spans="1:14" ht="12.75" customHeight="1">
      <c r="B196" s="24">
        <v>25</v>
      </c>
    </row>
    <row r="198" spans="1:14" ht="12.75" customHeight="1" thickBot="1">
      <c r="A198" s="36" t="s">
        <v>435</v>
      </c>
      <c r="B198" s="61" t="s">
        <v>131</v>
      </c>
      <c r="C198" s="40"/>
      <c r="D198" s="36" t="s">
        <v>436</v>
      </c>
      <c r="E198" s="39" t="s">
        <v>449</v>
      </c>
      <c r="F198" s="40"/>
      <c r="G198" s="41" t="s">
        <v>455</v>
      </c>
      <c r="H198" s="61" t="s">
        <v>636</v>
      </c>
      <c r="I198" s="40"/>
      <c r="J198" s="41" t="s">
        <v>456</v>
      </c>
      <c r="K198" s="61" t="s">
        <v>1211</v>
      </c>
      <c r="L198" s="40"/>
      <c r="M198" s="40"/>
      <c r="N198" s="36" t="s">
        <v>435</v>
      </c>
    </row>
    <row r="199" spans="1:14" ht="12.75" customHeight="1" thickTop="1">
      <c r="A199" s="26" t="s">
        <v>457</v>
      </c>
      <c r="B199" s="43" t="s">
        <v>458</v>
      </c>
      <c r="C199" s="44" t="s">
        <v>459</v>
      </c>
      <c r="D199" s="45" t="s">
        <v>440</v>
      </c>
      <c r="E199" s="46" t="s">
        <v>461</v>
      </c>
      <c r="F199" s="46" t="s">
        <v>462</v>
      </c>
      <c r="G199" s="46" t="s">
        <v>463</v>
      </c>
      <c r="H199" s="46" t="s">
        <v>464</v>
      </c>
      <c r="I199" s="46" t="s">
        <v>467</v>
      </c>
      <c r="J199" s="46" t="s">
        <v>466</v>
      </c>
      <c r="K199" s="46" t="s">
        <v>447</v>
      </c>
      <c r="L199" s="46" t="s">
        <v>469</v>
      </c>
      <c r="M199" s="47" t="s">
        <v>442</v>
      </c>
      <c r="N199" s="42" t="s">
        <v>439</v>
      </c>
    </row>
    <row r="200" spans="1:14" ht="12.75" customHeight="1">
      <c r="A200" s="130">
        <v>1251</v>
      </c>
      <c r="B200" s="282" t="s">
        <v>2031</v>
      </c>
      <c r="C200" s="283" t="s">
        <v>595</v>
      </c>
      <c r="D200" s="284" t="s">
        <v>1210</v>
      </c>
      <c r="E200" s="282"/>
      <c r="F200" s="282"/>
      <c r="G200" s="282" t="s">
        <v>597</v>
      </c>
      <c r="H200" s="282" t="s">
        <v>597</v>
      </c>
      <c r="I200" s="282"/>
      <c r="J200" s="282"/>
      <c r="K200" s="282"/>
      <c r="L200" s="285"/>
      <c r="M200" s="132"/>
      <c r="N200" s="279" t="s">
        <v>634</v>
      </c>
    </row>
    <row r="201" spans="1:14" ht="12.75" customHeight="1">
      <c r="A201" s="130">
        <v>1252</v>
      </c>
      <c r="B201" s="282" t="s">
        <v>2032</v>
      </c>
      <c r="C201" s="283" t="s">
        <v>595</v>
      </c>
      <c r="D201" s="284" t="s">
        <v>1210</v>
      </c>
      <c r="E201" s="282"/>
      <c r="F201" s="282" t="s">
        <v>597</v>
      </c>
      <c r="G201" s="282"/>
      <c r="H201" s="282"/>
      <c r="I201" s="282" t="s">
        <v>597</v>
      </c>
      <c r="J201" s="282"/>
      <c r="K201" s="282"/>
      <c r="L201" s="285"/>
      <c r="M201" s="132"/>
      <c r="N201" s="279" t="s">
        <v>632</v>
      </c>
    </row>
    <row r="202" spans="1:14" ht="12.75" customHeight="1">
      <c r="A202" s="130">
        <v>1253</v>
      </c>
      <c r="B202" s="282" t="s">
        <v>2033</v>
      </c>
      <c r="C202" s="283" t="s">
        <v>595</v>
      </c>
      <c r="D202" s="284" t="s">
        <v>1210</v>
      </c>
      <c r="E202" s="282" t="s">
        <v>597</v>
      </c>
      <c r="F202" s="282"/>
      <c r="G202" s="282"/>
      <c r="H202" s="282"/>
      <c r="I202" s="282"/>
      <c r="J202" s="282" t="s">
        <v>597</v>
      </c>
      <c r="K202" s="282"/>
      <c r="L202" s="285"/>
      <c r="M202" s="132"/>
      <c r="N202" s="279" t="s">
        <v>1206</v>
      </c>
    </row>
    <row r="203" spans="1:14" ht="12.75" customHeight="1" thickBot="1">
      <c r="A203" s="133">
        <v>1254</v>
      </c>
      <c r="B203" s="286" t="s">
        <v>2034</v>
      </c>
      <c r="C203" s="287" t="s">
        <v>595</v>
      </c>
      <c r="D203" s="284" t="s">
        <v>1210</v>
      </c>
      <c r="E203" s="282"/>
      <c r="F203" s="282"/>
      <c r="G203" s="282"/>
      <c r="H203" s="282"/>
      <c r="I203" s="282"/>
      <c r="J203" s="282"/>
      <c r="K203" s="282" t="s">
        <v>597</v>
      </c>
      <c r="L203" s="285" t="s">
        <v>597</v>
      </c>
      <c r="M203" s="132"/>
      <c r="N203" s="280" t="s">
        <v>633</v>
      </c>
    </row>
    <row r="204" spans="1:14" ht="12.75" customHeight="1" thickTop="1">
      <c r="A204" s="135">
        <v>1255</v>
      </c>
      <c r="B204" s="288" t="s">
        <v>2035</v>
      </c>
      <c r="C204" s="289" t="s">
        <v>596</v>
      </c>
      <c r="D204" s="290" t="s">
        <v>1210</v>
      </c>
      <c r="E204" s="288"/>
      <c r="F204" s="288"/>
      <c r="G204" s="288"/>
      <c r="H204" s="288" t="s">
        <v>597</v>
      </c>
      <c r="I204" s="288"/>
      <c r="J204" s="288"/>
      <c r="K204" s="288"/>
      <c r="L204" s="291" t="s">
        <v>597</v>
      </c>
      <c r="M204" s="132"/>
      <c r="N204" s="281" t="s">
        <v>635</v>
      </c>
    </row>
    <row r="205" spans="1:14" ht="12.75" customHeight="1">
      <c r="A205" s="137">
        <v>1256</v>
      </c>
      <c r="B205" s="282" t="s">
        <v>2036</v>
      </c>
      <c r="C205" s="283" t="s">
        <v>596</v>
      </c>
      <c r="D205" s="284" t="s">
        <v>1210</v>
      </c>
      <c r="E205" s="282" t="s">
        <v>597</v>
      </c>
      <c r="F205" s="282"/>
      <c r="G205" s="282"/>
      <c r="H205" s="282"/>
      <c r="I205" s="282"/>
      <c r="J205" s="282"/>
      <c r="K205" s="282" t="s">
        <v>597</v>
      </c>
      <c r="L205" s="285"/>
      <c r="M205" s="132"/>
      <c r="N205" s="279" t="s">
        <v>1207</v>
      </c>
    </row>
    <row r="206" spans="1:14" ht="12.75" customHeight="1">
      <c r="A206" s="138">
        <v>1257</v>
      </c>
      <c r="B206" s="282" t="s">
        <v>2037</v>
      </c>
      <c r="C206" s="283" t="s">
        <v>596</v>
      </c>
      <c r="D206" s="284" t="s">
        <v>1210</v>
      </c>
      <c r="E206" s="282"/>
      <c r="F206" s="282"/>
      <c r="G206" s="282" t="s">
        <v>597</v>
      </c>
      <c r="H206" s="282"/>
      <c r="I206" s="282" t="s">
        <v>597</v>
      </c>
      <c r="J206" s="282"/>
      <c r="K206" s="282"/>
      <c r="L206" s="285"/>
      <c r="M206" s="132"/>
      <c r="N206" s="279" t="s">
        <v>1208</v>
      </c>
    </row>
    <row r="207" spans="1:14" ht="12.75" customHeight="1" thickBot="1">
      <c r="A207" s="133">
        <v>1258</v>
      </c>
      <c r="B207" s="286" t="s">
        <v>2038</v>
      </c>
      <c r="C207" s="287" t="s">
        <v>596</v>
      </c>
      <c r="D207" s="292" t="s">
        <v>1210</v>
      </c>
      <c r="E207" s="286"/>
      <c r="F207" s="286" t="s">
        <v>597</v>
      </c>
      <c r="G207" s="286"/>
      <c r="H207" s="286"/>
      <c r="I207" s="286"/>
      <c r="J207" s="286" t="s">
        <v>597</v>
      </c>
      <c r="K207" s="286"/>
      <c r="L207" s="293"/>
      <c r="M207" s="139"/>
      <c r="N207" s="280" t="s">
        <v>1209</v>
      </c>
    </row>
    <row r="208" spans="1:14" ht="12.75" customHeight="1" thickTop="1"/>
    <row r="209" spans="1:14" ht="12.75" customHeight="1">
      <c r="B209" s="24">
        <v>26</v>
      </c>
    </row>
    <row r="211" spans="1:14" ht="12.75" customHeight="1" thickBot="1">
      <c r="A211" s="36" t="s">
        <v>435</v>
      </c>
      <c r="B211" s="61" t="s">
        <v>132</v>
      </c>
      <c r="C211" s="40"/>
      <c r="D211" s="36" t="s">
        <v>436</v>
      </c>
      <c r="E211" s="39" t="s">
        <v>449</v>
      </c>
      <c r="F211" s="40"/>
      <c r="G211" s="41" t="s">
        <v>455</v>
      </c>
      <c r="H211" s="61" t="s">
        <v>623</v>
      </c>
      <c r="I211" s="40"/>
      <c r="J211" s="41" t="s">
        <v>456</v>
      </c>
      <c r="K211" s="61" t="s">
        <v>1221</v>
      </c>
      <c r="L211" s="40"/>
      <c r="M211" s="40"/>
      <c r="N211" s="36" t="s">
        <v>435</v>
      </c>
    </row>
    <row r="212" spans="1:14" ht="12.75" customHeight="1" thickTop="1">
      <c r="A212" s="26" t="s">
        <v>457</v>
      </c>
      <c r="B212" s="43" t="s">
        <v>458</v>
      </c>
      <c r="C212" s="44" t="s">
        <v>459</v>
      </c>
      <c r="D212" s="45" t="s">
        <v>440</v>
      </c>
      <c r="E212" s="46" t="s">
        <v>461</v>
      </c>
      <c r="F212" s="46" t="s">
        <v>462</v>
      </c>
      <c r="G212" s="46" t="s">
        <v>463</v>
      </c>
      <c r="H212" s="46" t="s">
        <v>464</v>
      </c>
      <c r="I212" s="46" t="s">
        <v>467</v>
      </c>
      <c r="J212" s="46" t="s">
        <v>466</v>
      </c>
      <c r="K212" s="46" t="s">
        <v>447</v>
      </c>
      <c r="L212" s="46" t="s">
        <v>469</v>
      </c>
      <c r="M212" s="47" t="s">
        <v>442</v>
      </c>
      <c r="N212" s="42" t="s">
        <v>439</v>
      </c>
    </row>
    <row r="213" spans="1:14" ht="12.75" customHeight="1">
      <c r="A213" s="157" t="s">
        <v>2043</v>
      </c>
      <c r="B213" s="199" t="s">
        <v>2044</v>
      </c>
      <c r="C213" s="180" t="s">
        <v>595</v>
      </c>
      <c r="D213" s="200" t="s">
        <v>1220</v>
      </c>
      <c r="E213" s="295" t="s">
        <v>597</v>
      </c>
      <c r="F213" s="295" t="s">
        <v>597</v>
      </c>
      <c r="G213" s="199"/>
      <c r="H213" s="199"/>
      <c r="I213" s="199"/>
      <c r="J213" s="199"/>
      <c r="K213" s="199"/>
      <c r="L213" s="207"/>
      <c r="M213" s="217"/>
      <c r="N213" s="294" t="s">
        <v>1212</v>
      </c>
    </row>
    <row r="214" spans="1:14" ht="12.75" customHeight="1">
      <c r="A214" s="157" t="s">
        <v>2045</v>
      </c>
      <c r="B214" s="199" t="s">
        <v>2046</v>
      </c>
      <c r="C214" s="180" t="s">
        <v>595</v>
      </c>
      <c r="D214" s="200" t="s">
        <v>1220</v>
      </c>
      <c r="E214" s="199"/>
      <c r="F214" s="199"/>
      <c r="G214" s="295" t="s">
        <v>597</v>
      </c>
      <c r="H214" s="295" t="s">
        <v>597</v>
      </c>
      <c r="I214" s="199"/>
      <c r="J214" s="199"/>
      <c r="K214" s="199"/>
      <c r="L214" s="207"/>
      <c r="M214" s="217"/>
      <c r="N214" s="294" t="s">
        <v>1213</v>
      </c>
    </row>
    <row r="215" spans="1:14" ht="12.75" customHeight="1">
      <c r="A215" s="157" t="s">
        <v>2047</v>
      </c>
      <c r="B215" s="199" t="s">
        <v>2048</v>
      </c>
      <c r="C215" s="180" t="s">
        <v>595</v>
      </c>
      <c r="D215" s="200" t="s">
        <v>1220</v>
      </c>
      <c r="E215" s="199"/>
      <c r="F215" s="199"/>
      <c r="G215" s="199"/>
      <c r="H215" s="199"/>
      <c r="I215" s="199"/>
      <c r="J215" s="199"/>
      <c r="K215" s="295" t="s">
        <v>597</v>
      </c>
      <c r="L215" s="295" t="s">
        <v>597</v>
      </c>
      <c r="M215" s="217"/>
      <c r="N215" s="294" t="s">
        <v>1214</v>
      </c>
    </row>
    <row r="216" spans="1:14" ht="12.75" customHeight="1">
      <c r="A216" s="157" t="s">
        <v>2049</v>
      </c>
      <c r="B216" s="199" t="s">
        <v>2050</v>
      </c>
      <c r="C216" s="180" t="s">
        <v>595</v>
      </c>
      <c r="D216" s="200" t="s">
        <v>1220</v>
      </c>
      <c r="E216" s="199"/>
      <c r="F216" s="199"/>
      <c r="G216" s="199"/>
      <c r="H216" s="199"/>
      <c r="I216" s="295" t="s">
        <v>597</v>
      </c>
      <c r="J216" s="295" t="s">
        <v>597</v>
      </c>
      <c r="K216" s="199"/>
      <c r="L216" s="207"/>
      <c r="M216" s="217"/>
      <c r="N216" s="294" t="s">
        <v>1215</v>
      </c>
    </row>
    <row r="217" spans="1:14" ht="12.75" customHeight="1">
      <c r="A217" s="157" t="s">
        <v>2051</v>
      </c>
      <c r="B217" s="199" t="s">
        <v>2052</v>
      </c>
      <c r="C217" s="186" t="s">
        <v>596</v>
      </c>
      <c r="D217" s="200" t="s">
        <v>1220</v>
      </c>
      <c r="E217" s="199"/>
      <c r="F217" s="199"/>
      <c r="G217" s="199"/>
      <c r="H217" s="199"/>
      <c r="I217" s="295" t="s">
        <v>597</v>
      </c>
      <c r="J217" s="295" t="s">
        <v>597</v>
      </c>
      <c r="K217" s="199"/>
      <c r="L217" s="207"/>
      <c r="M217" s="217"/>
      <c r="N217" s="294" t="s">
        <v>1216</v>
      </c>
    </row>
    <row r="218" spans="1:14" ht="12.75" customHeight="1" thickBot="1">
      <c r="A218" s="157" t="s">
        <v>2053</v>
      </c>
      <c r="B218" s="202" t="s">
        <v>2054</v>
      </c>
      <c r="C218" s="186" t="s">
        <v>596</v>
      </c>
      <c r="D218" s="200" t="s">
        <v>1220</v>
      </c>
      <c r="E218" s="295" t="s">
        <v>597</v>
      </c>
      <c r="F218" s="295" t="s">
        <v>597</v>
      </c>
      <c r="G218" s="221"/>
      <c r="H218" s="221"/>
      <c r="I218" s="221"/>
      <c r="J218" s="221"/>
      <c r="K218" s="221"/>
      <c r="L218" s="219"/>
      <c r="M218" s="217"/>
      <c r="N218" s="294" t="s">
        <v>1217</v>
      </c>
    </row>
    <row r="219" spans="1:14" ht="12.75" customHeight="1" thickTop="1">
      <c r="A219" s="157" t="s">
        <v>2055</v>
      </c>
      <c r="B219" s="203" t="s">
        <v>2056</v>
      </c>
      <c r="C219" s="186" t="s">
        <v>596</v>
      </c>
      <c r="D219" s="200" t="s">
        <v>1220</v>
      </c>
      <c r="E219" s="199"/>
      <c r="F219" s="199"/>
      <c r="G219" s="295" t="s">
        <v>597</v>
      </c>
      <c r="H219" s="295" t="s">
        <v>597</v>
      </c>
      <c r="I219" s="199"/>
      <c r="J219" s="199"/>
      <c r="K219" s="199"/>
      <c r="L219" s="207"/>
      <c r="M219" s="217"/>
      <c r="N219" s="294" t="s">
        <v>1218</v>
      </c>
    </row>
    <row r="220" spans="1:14" ht="12.75" customHeight="1" thickBot="1">
      <c r="A220" s="157" t="s">
        <v>2057</v>
      </c>
      <c r="B220" s="203" t="s">
        <v>2058</v>
      </c>
      <c r="C220" s="199" t="s">
        <v>596</v>
      </c>
      <c r="D220" s="200" t="s">
        <v>1220</v>
      </c>
      <c r="E220" s="199"/>
      <c r="F220" s="199"/>
      <c r="G220" s="199"/>
      <c r="H220" s="199"/>
      <c r="I220" s="199"/>
      <c r="J220" s="199"/>
      <c r="K220" s="295" t="s">
        <v>597</v>
      </c>
      <c r="L220" s="295" t="s">
        <v>597</v>
      </c>
      <c r="M220" s="218"/>
      <c r="N220" s="294" t="s">
        <v>1219</v>
      </c>
    </row>
    <row r="221" spans="1:14" ht="12.75" customHeight="1" thickTop="1"/>
    <row r="222" spans="1:14" ht="12.75" customHeight="1">
      <c r="B222" s="24">
        <v>29</v>
      </c>
    </row>
    <row r="224" spans="1:14" ht="12.75" customHeight="1" thickBot="1">
      <c r="A224" s="36" t="s">
        <v>435</v>
      </c>
      <c r="B224" s="61" t="s">
        <v>588</v>
      </c>
      <c r="C224" s="40"/>
      <c r="D224" s="36" t="s">
        <v>436</v>
      </c>
      <c r="E224" s="39" t="s">
        <v>449</v>
      </c>
      <c r="F224" s="40"/>
      <c r="G224" s="41" t="s">
        <v>455</v>
      </c>
      <c r="H224" s="61" t="s">
        <v>1231</v>
      </c>
      <c r="I224" s="40"/>
      <c r="J224" s="41" t="s">
        <v>456</v>
      </c>
      <c r="K224" s="61" t="s">
        <v>1232</v>
      </c>
      <c r="L224" s="40"/>
      <c r="M224" s="40"/>
      <c r="N224" s="36" t="s">
        <v>435</v>
      </c>
    </row>
    <row r="225" spans="1:14" ht="12.75" customHeight="1" thickTop="1">
      <c r="A225" s="26" t="s">
        <v>457</v>
      </c>
      <c r="B225" s="43" t="s">
        <v>458</v>
      </c>
      <c r="C225" s="44" t="s">
        <v>459</v>
      </c>
      <c r="D225" s="45" t="s">
        <v>440</v>
      </c>
      <c r="E225" s="46" t="s">
        <v>461</v>
      </c>
      <c r="F225" s="46" t="s">
        <v>462</v>
      </c>
      <c r="G225" s="46" t="s">
        <v>463</v>
      </c>
      <c r="H225" s="46" t="s">
        <v>464</v>
      </c>
      <c r="I225" s="46" t="s">
        <v>467</v>
      </c>
      <c r="J225" s="46" t="s">
        <v>466</v>
      </c>
      <c r="K225" s="46" t="s">
        <v>447</v>
      </c>
      <c r="L225" s="46" t="s">
        <v>469</v>
      </c>
      <c r="M225" s="47" t="s">
        <v>442</v>
      </c>
      <c r="N225" s="42" t="s">
        <v>439</v>
      </c>
    </row>
    <row r="226" spans="1:14" ht="12.75" customHeight="1">
      <c r="A226" s="191">
        <v>1291</v>
      </c>
      <c r="B226" s="179" t="s">
        <v>2063</v>
      </c>
      <c r="C226" s="180" t="s">
        <v>595</v>
      </c>
      <c r="D226" s="182" t="s">
        <v>629</v>
      </c>
      <c r="E226" s="199"/>
      <c r="F226" s="179"/>
      <c r="G226" s="199" t="s">
        <v>597</v>
      </c>
      <c r="H226" s="179"/>
      <c r="I226" s="179"/>
      <c r="J226" s="179"/>
      <c r="K226" s="199" t="s">
        <v>597</v>
      </c>
      <c r="L226" s="183"/>
      <c r="M226" s="82"/>
      <c r="N226" s="162" t="s">
        <v>1222</v>
      </c>
    </row>
    <row r="227" spans="1:14" ht="12.75" customHeight="1">
      <c r="A227" s="191">
        <v>1292</v>
      </c>
      <c r="B227" s="179" t="s">
        <v>2064</v>
      </c>
      <c r="C227" s="180" t="s">
        <v>595</v>
      </c>
      <c r="D227" s="182" t="s">
        <v>625</v>
      </c>
      <c r="E227" s="179"/>
      <c r="F227" s="199" t="s">
        <v>597</v>
      </c>
      <c r="G227" s="179"/>
      <c r="H227" s="179"/>
      <c r="I227" s="179"/>
      <c r="J227" s="199" t="s">
        <v>597</v>
      </c>
      <c r="K227" s="179"/>
      <c r="L227" s="183"/>
      <c r="M227" s="82"/>
      <c r="N227" s="162" t="s">
        <v>1223</v>
      </c>
    </row>
    <row r="228" spans="1:14" ht="12.75" customHeight="1">
      <c r="A228" s="191">
        <v>1293</v>
      </c>
      <c r="B228" s="179" t="s">
        <v>2065</v>
      </c>
      <c r="C228" s="180" t="s">
        <v>595</v>
      </c>
      <c r="D228" s="182" t="s">
        <v>626</v>
      </c>
      <c r="E228" s="199" t="s">
        <v>597</v>
      </c>
      <c r="F228" s="179"/>
      <c r="G228" s="179"/>
      <c r="H228" s="199" t="s">
        <v>597</v>
      </c>
      <c r="I228" s="179"/>
      <c r="J228" s="179"/>
      <c r="K228" s="179"/>
      <c r="L228" s="183"/>
      <c r="M228" s="92"/>
      <c r="N228" s="162" t="s">
        <v>1224</v>
      </c>
    </row>
    <row r="229" spans="1:14" ht="12.75" customHeight="1" thickBot="1">
      <c r="A229" s="191">
        <v>1294</v>
      </c>
      <c r="B229" s="188" t="s">
        <v>2066</v>
      </c>
      <c r="C229" s="189" t="s">
        <v>595</v>
      </c>
      <c r="D229" s="182" t="s">
        <v>617</v>
      </c>
      <c r="E229" s="179"/>
      <c r="F229" s="179"/>
      <c r="G229" s="179"/>
      <c r="H229" s="199"/>
      <c r="I229" s="199" t="s">
        <v>597</v>
      </c>
      <c r="J229" s="179"/>
      <c r="K229" s="179"/>
      <c r="L229" s="199" t="s">
        <v>597</v>
      </c>
      <c r="M229" s="92"/>
      <c r="N229" s="164" t="s">
        <v>1225</v>
      </c>
    </row>
    <row r="230" spans="1:14" ht="12.75" customHeight="1" thickTop="1">
      <c r="A230" s="191">
        <v>1295</v>
      </c>
      <c r="B230" s="185" t="s">
        <v>2067</v>
      </c>
      <c r="C230" s="186" t="s">
        <v>596</v>
      </c>
      <c r="D230" s="182" t="s">
        <v>624</v>
      </c>
      <c r="E230" s="185"/>
      <c r="F230" s="185"/>
      <c r="G230" s="199" t="s">
        <v>597</v>
      </c>
      <c r="H230" s="199" t="s">
        <v>597</v>
      </c>
      <c r="I230" s="185"/>
      <c r="J230" s="185"/>
      <c r="K230" s="185"/>
      <c r="L230" s="187"/>
      <c r="M230" s="82"/>
      <c r="N230" s="163" t="s">
        <v>1226</v>
      </c>
    </row>
    <row r="231" spans="1:14" ht="12.75" customHeight="1">
      <c r="A231" s="191">
        <v>1296</v>
      </c>
      <c r="B231" s="179" t="s">
        <v>2068</v>
      </c>
      <c r="C231" s="180" t="s">
        <v>596</v>
      </c>
      <c r="D231" s="182" t="s">
        <v>626</v>
      </c>
      <c r="E231" s="179"/>
      <c r="F231" s="199" t="s">
        <v>597</v>
      </c>
      <c r="G231" s="179"/>
      <c r="H231" s="179"/>
      <c r="I231" s="179"/>
      <c r="J231" s="199" t="s">
        <v>597</v>
      </c>
      <c r="K231" s="179"/>
      <c r="L231" s="183"/>
      <c r="M231" s="92"/>
      <c r="N231" s="162" t="s">
        <v>1227</v>
      </c>
    </row>
    <row r="232" spans="1:14" ht="12.75" customHeight="1">
      <c r="A232" s="191">
        <v>1297</v>
      </c>
      <c r="B232" s="179" t="s">
        <v>2069</v>
      </c>
      <c r="C232" s="180" t="s">
        <v>596</v>
      </c>
      <c r="D232" s="182" t="s">
        <v>1230</v>
      </c>
      <c r="E232" s="179"/>
      <c r="F232" s="179"/>
      <c r="G232" s="179"/>
      <c r="H232" s="179"/>
      <c r="I232" s="179"/>
      <c r="J232" s="179"/>
      <c r="K232" s="199" t="s">
        <v>597</v>
      </c>
      <c r="L232" s="199" t="s">
        <v>597</v>
      </c>
      <c r="M232" s="82"/>
      <c r="N232" s="162" t="s">
        <v>1228</v>
      </c>
    </row>
    <row r="233" spans="1:14" ht="12.75" customHeight="1" thickBot="1">
      <c r="A233" s="191">
        <v>1298</v>
      </c>
      <c r="B233" s="188" t="s">
        <v>2070</v>
      </c>
      <c r="C233" s="189" t="s">
        <v>596</v>
      </c>
      <c r="D233" s="182" t="s">
        <v>625</v>
      </c>
      <c r="E233" s="199" t="s">
        <v>597</v>
      </c>
      <c r="F233" s="188"/>
      <c r="G233" s="188"/>
      <c r="H233" s="188"/>
      <c r="I233" s="199" t="s">
        <v>597</v>
      </c>
      <c r="J233" s="188"/>
      <c r="K233" s="188"/>
      <c r="L233" s="205"/>
      <c r="M233" s="108"/>
      <c r="N233" s="164" t="s">
        <v>1229</v>
      </c>
    </row>
    <row r="234" spans="1:14" ht="12.75" customHeight="1" thickTop="1"/>
    <row r="235" spans="1:14" ht="12.75" customHeight="1">
      <c r="B235" s="24">
        <v>28</v>
      </c>
    </row>
    <row r="237" spans="1:14" ht="12.75" customHeight="1" thickBot="1">
      <c r="A237" s="36" t="s">
        <v>435</v>
      </c>
      <c r="B237" s="61" t="s">
        <v>589</v>
      </c>
      <c r="C237" s="40"/>
      <c r="D237" s="36" t="s">
        <v>436</v>
      </c>
      <c r="E237" s="39" t="s">
        <v>449</v>
      </c>
      <c r="F237" s="40"/>
      <c r="G237" s="41" t="s">
        <v>455</v>
      </c>
      <c r="H237" s="61" t="s">
        <v>1241</v>
      </c>
      <c r="I237" s="40"/>
      <c r="J237" s="41" t="s">
        <v>456</v>
      </c>
      <c r="K237" s="61" t="s">
        <v>1242</v>
      </c>
      <c r="L237" s="40"/>
      <c r="M237" s="40"/>
      <c r="N237" s="36" t="s">
        <v>435</v>
      </c>
    </row>
    <row r="238" spans="1:14" ht="12.75" customHeight="1" thickTop="1">
      <c r="A238" s="26" t="s">
        <v>457</v>
      </c>
      <c r="B238" s="43" t="s">
        <v>458</v>
      </c>
      <c r="C238" s="44" t="s">
        <v>459</v>
      </c>
      <c r="D238" s="45" t="s">
        <v>440</v>
      </c>
      <c r="E238" s="46" t="s">
        <v>461</v>
      </c>
      <c r="F238" s="46" t="s">
        <v>462</v>
      </c>
      <c r="G238" s="46" t="s">
        <v>463</v>
      </c>
      <c r="H238" s="46" t="s">
        <v>464</v>
      </c>
      <c r="I238" s="46" t="s">
        <v>467</v>
      </c>
      <c r="J238" s="46" t="s">
        <v>466</v>
      </c>
      <c r="K238" s="46" t="s">
        <v>447</v>
      </c>
      <c r="L238" s="46" t="s">
        <v>469</v>
      </c>
      <c r="M238" s="47" t="s">
        <v>442</v>
      </c>
      <c r="N238" s="42" t="s">
        <v>439</v>
      </c>
    </row>
    <row r="239" spans="1:14" ht="12.75" customHeight="1">
      <c r="A239" s="157" t="s">
        <v>2075</v>
      </c>
      <c r="B239" s="179" t="s">
        <v>2076</v>
      </c>
      <c r="C239" s="180" t="s">
        <v>595</v>
      </c>
      <c r="D239" s="184" t="s">
        <v>624</v>
      </c>
      <c r="E239" s="179"/>
      <c r="F239" s="179"/>
      <c r="G239" s="179"/>
      <c r="H239" s="179"/>
      <c r="I239" s="199" t="s">
        <v>597</v>
      </c>
      <c r="J239" s="199" t="s">
        <v>597</v>
      </c>
      <c r="K239" s="179"/>
      <c r="L239" s="183"/>
      <c r="M239" s="82"/>
      <c r="N239" s="162" t="s">
        <v>1233</v>
      </c>
    </row>
    <row r="240" spans="1:14" ht="12.75" customHeight="1">
      <c r="A240" s="157" t="s">
        <v>2077</v>
      </c>
      <c r="B240" s="179" t="s">
        <v>2078</v>
      </c>
      <c r="C240" s="180" t="s">
        <v>595</v>
      </c>
      <c r="D240" s="182" t="s">
        <v>617</v>
      </c>
      <c r="E240" s="199" t="s">
        <v>597</v>
      </c>
      <c r="F240" s="179"/>
      <c r="G240" s="179"/>
      <c r="H240" s="179"/>
      <c r="I240" s="179"/>
      <c r="J240" s="179"/>
      <c r="K240" s="199" t="s">
        <v>597</v>
      </c>
      <c r="L240" s="183"/>
      <c r="M240" s="82"/>
      <c r="N240" s="162" t="s">
        <v>1234</v>
      </c>
    </row>
    <row r="241" spans="1:14" ht="12.75" customHeight="1">
      <c r="A241" s="157" t="s">
        <v>2079</v>
      </c>
      <c r="B241" s="179" t="s">
        <v>2080</v>
      </c>
      <c r="C241" s="180" t="s">
        <v>595</v>
      </c>
      <c r="D241" s="182" t="s">
        <v>626</v>
      </c>
      <c r="E241" s="179"/>
      <c r="F241" s="179"/>
      <c r="G241" s="179"/>
      <c r="H241" s="199" t="s">
        <v>597</v>
      </c>
      <c r="I241" s="179"/>
      <c r="J241" s="179"/>
      <c r="K241" s="179"/>
      <c r="L241" s="199" t="s">
        <v>597</v>
      </c>
      <c r="M241" s="92"/>
      <c r="N241" s="162" t="s">
        <v>1235</v>
      </c>
    </row>
    <row r="242" spans="1:14" ht="12.75" customHeight="1">
      <c r="A242" s="157" t="s">
        <v>2081</v>
      </c>
      <c r="B242" s="179" t="s">
        <v>2082</v>
      </c>
      <c r="C242" s="180" t="s">
        <v>595</v>
      </c>
      <c r="D242" s="182" t="s">
        <v>1230</v>
      </c>
      <c r="E242" s="179"/>
      <c r="F242" s="199" t="s">
        <v>597</v>
      </c>
      <c r="G242" s="199" t="s">
        <v>597</v>
      </c>
      <c r="H242" s="179"/>
      <c r="I242" s="179"/>
      <c r="J242" s="179"/>
      <c r="K242" s="179"/>
      <c r="L242" s="183"/>
      <c r="M242" s="92"/>
      <c r="N242" s="162" t="s">
        <v>1236</v>
      </c>
    </row>
    <row r="243" spans="1:14" ht="12.75" customHeight="1">
      <c r="A243" s="157" t="s">
        <v>2083</v>
      </c>
      <c r="B243" s="185" t="s">
        <v>2084</v>
      </c>
      <c r="C243" s="186" t="s">
        <v>596</v>
      </c>
      <c r="D243" s="184" t="s">
        <v>625</v>
      </c>
      <c r="E243" s="199" t="s">
        <v>597</v>
      </c>
      <c r="F243" s="185"/>
      <c r="G243" s="185"/>
      <c r="H243" s="185"/>
      <c r="I243" s="199" t="s">
        <v>597</v>
      </c>
      <c r="J243" s="185"/>
      <c r="K243" s="185"/>
      <c r="L243" s="187"/>
      <c r="M243" s="82"/>
      <c r="N243" s="163" t="s">
        <v>1237</v>
      </c>
    </row>
    <row r="244" spans="1:14" ht="12.75" customHeight="1">
      <c r="A244" s="157" t="s">
        <v>2085</v>
      </c>
      <c r="B244" s="179" t="s">
        <v>2086</v>
      </c>
      <c r="C244" s="180" t="s">
        <v>596</v>
      </c>
      <c r="D244" s="182" t="s">
        <v>629</v>
      </c>
      <c r="E244" s="179"/>
      <c r="F244" s="179"/>
      <c r="G244" s="199" t="s">
        <v>597</v>
      </c>
      <c r="H244" s="199" t="s">
        <v>597</v>
      </c>
      <c r="I244" s="179"/>
      <c r="J244" s="179"/>
      <c r="K244" s="179"/>
      <c r="L244" s="183"/>
      <c r="M244" s="92"/>
      <c r="N244" s="162" t="s">
        <v>1238</v>
      </c>
    </row>
    <row r="245" spans="1:14" ht="12.75" customHeight="1">
      <c r="A245" s="157" t="s">
        <v>2087</v>
      </c>
      <c r="B245" s="179" t="s">
        <v>2088</v>
      </c>
      <c r="C245" s="180" t="s">
        <v>596</v>
      </c>
      <c r="D245" s="182" t="s">
        <v>617</v>
      </c>
      <c r="E245" s="179"/>
      <c r="F245" s="179"/>
      <c r="G245" s="179"/>
      <c r="H245" s="179"/>
      <c r="I245" s="179"/>
      <c r="J245" s="199" t="s">
        <v>597</v>
      </c>
      <c r="K245" s="179"/>
      <c r="L245" s="199" t="s">
        <v>597</v>
      </c>
      <c r="M245" s="82"/>
      <c r="N245" s="162" t="s">
        <v>1239</v>
      </c>
    </row>
    <row r="246" spans="1:14" ht="12.75" customHeight="1" thickBot="1">
      <c r="A246" s="157" t="s">
        <v>2089</v>
      </c>
      <c r="B246" s="188" t="s">
        <v>2090</v>
      </c>
      <c r="C246" s="189" t="s">
        <v>596</v>
      </c>
      <c r="D246" s="184" t="s">
        <v>1230</v>
      </c>
      <c r="E246" s="188"/>
      <c r="F246" s="199" t="s">
        <v>597</v>
      </c>
      <c r="G246" s="188"/>
      <c r="H246" s="188"/>
      <c r="I246" s="188"/>
      <c r="J246" s="188"/>
      <c r="K246" s="199" t="s">
        <v>597</v>
      </c>
      <c r="L246" s="205"/>
      <c r="M246" s="108"/>
      <c r="N246" s="164" t="s">
        <v>1240</v>
      </c>
    </row>
    <row r="247" spans="1:14" ht="12.75" customHeight="1" thickTop="1"/>
    <row r="248" spans="1:14" ht="12.75" customHeight="1">
      <c r="A248" s="24">
        <v>12210</v>
      </c>
      <c r="B248" s="24">
        <v>40</v>
      </c>
    </row>
    <row r="249" spans="1:14" ht="12.75" customHeight="1">
      <c r="A249" s="24">
        <v>12211</v>
      </c>
    </row>
    <row r="250" spans="1:14" ht="12.75" customHeight="1" thickBot="1">
      <c r="A250" s="36" t="s">
        <v>435</v>
      </c>
      <c r="B250" s="61" t="s">
        <v>1243</v>
      </c>
      <c r="C250" s="40"/>
      <c r="D250" s="36" t="s">
        <v>436</v>
      </c>
      <c r="E250" s="39" t="s">
        <v>449</v>
      </c>
      <c r="F250" s="40"/>
      <c r="G250" s="41" t="s">
        <v>455</v>
      </c>
      <c r="H250" s="61" t="s">
        <v>1261</v>
      </c>
      <c r="I250" s="40"/>
      <c r="J250" s="41" t="s">
        <v>456</v>
      </c>
      <c r="K250" s="61" t="s">
        <v>1262</v>
      </c>
      <c r="L250" s="40"/>
      <c r="M250" s="40"/>
      <c r="N250" s="36" t="s">
        <v>435</v>
      </c>
    </row>
    <row r="251" spans="1:14" ht="12.75" customHeight="1" thickTop="1">
      <c r="A251" s="26" t="s">
        <v>457</v>
      </c>
      <c r="B251" s="43" t="s">
        <v>458</v>
      </c>
      <c r="C251" s="44" t="s">
        <v>459</v>
      </c>
      <c r="D251" s="45" t="s">
        <v>440</v>
      </c>
      <c r="E251" s="46" t="s">
        <v>461</v>
      </c>
      <c r="F251" s="46" t="s">
        <v>462</v>
      </c>
      <c r="G251" s="46" t="s">
        <v>463</v>
      </c>
      <c r="H251" s="46" t="s">
        <v>464</v>
      </c>
      <c r="I251" s="46" t="s">
        <v>467</v>
      </c>
      <c r="J251" s="46" t="s">
        <v>466</v>
      </c>
      <c r="K251" s="46" t="s">
        <v>447</v>
      </c>
      <c r="L251" s="46" t="s">
        <v>469</v>
      </c>
      <c r="M251" s="47" t="s">
        <v>442</v>
      </c>
      <c r="N251" s="42" t="s">
        <v>439</v>
      </c>
    </row>
    <row r="252" spans="1:14" ht="12.75" customHeight="1">
      <c r="A252" s="157" t="s">
        <v>2095</v>
      </c>
      <c r="B252" s="179" t="s">
        <v>2096</v>
      </c>
      <c r="C252" s="180" t="s">
        <v>595</v>
      </c>
      <c r="D252" s="182" t="s">
        <v>1253</v>
      </c>
      <c r="E252" s="179"/>
      <c r="F252" s="179"/>
      <c r="G252" s="179"/>
      <c r="H252" s="179"/>
      <c r="I252" s="179" t="s">
        <v>1254</v>
      </c>
      <c r="J252" s="179" t="s">
        <v>1255</v>
      </c>
      <c r="K252" s="179"/>
      <c r="L252" s="183"/>
      <c r="M252" s="82"/>
      <c r="N252" s="296" t="s">
        <v>1245</v>
      </c>
    </row>
    <row r="253" spans="1:14" ht="12.75" customHeight="1">
      <c r="A253" s="157" t="s">
        <v>2098</v>
      </c>
      <c r="B253" s="179" t="s">
        <v>2099</v>
      </c>
      <c r="C253" s="180" t="s">
        <v>595</v>
      </c>
      <c r="D253" s="182" t="s">
        <v>1256</v>
      </c>
      <c r="E253" s="179"/>
      <c r="F253" s="179"/>
      <c r="G253" s="179" t="s">
        <v>1254</v>
      </c>
      <c r="H253" s="179" t="s">
        <v>1254</v>
      </c>
      <c r="I253" s="179"/>
      <c r="J253" s="179"/>
      <c r="K253" s="179"/>
      <c r="L253" s="183"/>
      <c r="M253" s="82"/>
      <c r="N253" s="296" t="s">
        <v>1246</v>
      </c>
    </row>
    <row r="254" spans="1:14" ht="12.75" customHeight="1" thickBot="1">
      <c r="A254" s="157" t="s">
        <v>2100</v>
      </c>
      <c r="B254" s="179" t="s">
        <v>2101</v>
      </c>
      <c r="C254" s="180" t="s">
        <v>595</v>
      </c>
      <c r="D254" s="206" t="s">
        <v>1257</v>
      </c>
      <c r="E254" s="179" t="s">
        <v>1254</v>
      </c>
      <c r="F254" s="179"/>
      <c r="G254" s="179"/>
      <c r="H254" s="179"/>
      <c r="I254" s="179"/>
      <c r="J254" s="179"/>
      <c r="K254" s="179" t="s">
        <v>1254</v>
      </c>
      <c r="L254" s="183"/>
      <c r="M254" s="92"/>
      <c r="N254" s="296" t="s">
        <v>1247</v>
      </c>
    </row>
    <row r="255" spans="1:14" ht="12.75" customHeight="1" thickTop="1" thickBot="1">
      <c r="A255" s="157" t="s">
        <v>2103</v>
      </c>
      <c r="B255" s="188" t="s">
        <v>2104</v>
      </c>
      <c r="C255" s="189" t="s">
        <v>595</v>
      </c>
      <c r="D255" s="182" t="s">
        <v>1258</v>
      </c>
      <c r="E255" s="179"/>
      <c r="F255" s="179" t="s">
        <v>1254</v>
      </c>
      <c r="G255" s="179"/>
      <c r="H255" s="179"/>
      <c r="I255" s="179"/>
      <c r="J255" s="179"/>
      <c r="K255" s="179"/>
      <c r="L255" s="179" t="s">
        <v>1254</v>
      </c>
      <c r="M255" s="92"/>
      <c r="N255" s="296" t="s">
        <v>1248</v>
      </c>
    </row>
    <row r="256" spans="1:14" ht="12.75" customHeight="1" thickTop="1">
      <c r="A256" s="157" t="s">
        <v>2106</v>
      </c>
      <c r="B256" s="185" t="s">
        <v>2107</v>
      </c>
      <c r="C256" s="186" t="s">
        <v>596</v>
      </c>
      <c r="D256" s="184" t="s">
        <v>1259</v>
      </c>
      <c r="E256" s="185"/>
      <c r="F256" s="185"/>
      <c r="G256" s="179" t="s">
        <v>1254</v>
      </c>
      <c r="H256" s="179" t="s">
        <v>1254</v>
      </c>
      <c r="I256" s="185"/>
      <c r="J256" s="185"/>
      <c r="K256" s="185"/>
      <c r="L256" s="187"/>
      <c r="M256" s="82"/>
      <c r="N256" s="296" t="s">
        <v>1249</v>
      </c>
    </row>
    <row r="257" spans="1:14" ht="12.75" customHeight="1">
      <c r="A257" s="157" t="s">
        <v>2109</v>
      </c>
      <c r="B257" s="179" t="s">
        <v>2110</v>
      </c>
      <c r="C257" s="180" t="s">
        <v>596</v>
      </c>
      <c r="D257" s="182" t="s">
        <v>1260</v>
      </c>
      <c r="E257" s="179"/>
      <c r="F257" s="179"/>
      <c r="G257" s="179"/>
      <c r="H257" s="179"/>
      <c r="I257" s="179" t="s">
        <v>1254</v>
      </c>
      <c r="J257" s="179" t="s">
        <v>1254</v>
      </c>
      <c r="K257" s="179"/>
      <c r="L257" s="183"/>
      <c r="M257" s="92"/>
      <c r="N257" s="296" t="s">
        <v>1250</v>
      </c>
    </row>
    <row r="258" spans="1:14" ht="12.75" customHeight="1">
      <c r="A258" s="157" t="s">
        <v>2112</v>
      </c>
      <c r="B258" s="179" t="s">
        <v>2113</v>
      </c>
      <c r="C258" s="180" t="s">
        <v>596</v>
      </c>
      <c r="D258" s="182" t="s">
        <v>1260</v>
      </c>
      <c r="E258" s="179" t="s">
        <v>1254</v>
      </c>
      <c r="F258" s="179" t="s">
        <v>1254</v>
      </c>
      <c r="G258" s="179"/>
      <c r="H258" s="179"/>
      <c r="I258" s="179"/>
      <c r="J258" s="179"/>
      <c r="K258" s="179"/>
      <c r="L258" s="183"/>
      <c r="M258" s="82"/>
      <c r="N258" s="296" t="s">
        <v>1251</v>
      </c>
    </row>
    <row r="259" spans="1:14" ht="12.75" customHeight="1" thickBot="1">
      <c r="A259" s="157" t="s">
        <v>2115</v>
      </c>
      <c r="B259" s="188" t="s">
        <v>2116</v>
      </c>
      <c r="C259" s="189" t="s">
        <v>596</v>
      </c>
      <c r="D259" s="206" t="s">
        <v>1257</v>
      </c>
      <c r="E259" s="188"/>
      <c r="F259" s="188"/>
      <c r="G259" s="188"/>
      <c r="H259" s="188"/>
      <c r="I259" s="188"/>
      <c r="J259" s="188"/>
      <c r="K259" s="179" t="s">
        <v>1254</v>
      </c>
      <c r="L259" s="179" t="s">
        <v>1254</v>
      </c>
      <c r="M259" s="108"/>
      <c r="N259" s="296" t="s">
        <v>1252</v>
      </c>
    </row>
    <row r="260" spans="1:14" ht="12.75" customHeight="1" thickTop="1"/>
    <row r="261" spans="1:14" ht="12.75" customHeight="1">
      <c r="A261" s="24">
        <v>12210</v>
      </c>
      <c r="B261" s="24">
        <v>41</v>
      </c>
    </row>
    <row r="262" spans="1:14" ht="12.75" customHeight="1">
      <c r="A262" s="24">
        <v>12211</v>
      </c>
    </row>
    <row r="263" spans="1:14" ht="12.75" customHeight="1" thickBot="1">
      <c r="A263" s="36" t="s">
        <v>435</v>
      </c>
      <c r="B263" s="61" t="s">
        <v>1244</v>
      </c>
      <c r="C263" s="40"/>
      <c r="D263" s="36" t="s">
        <v>436</v>
      </c>
      <c r="E263" s="39" t="s">
        <v>449</v>
      </c>
      <c r="F263" s="40"/>
      <c r="G263" s="41" t="s">
        <v>455</v>
      </c>
      <c r="H263" s="61" t="s">
        <v>1261</v>
      </c>
      <c r="I263" s="40"/>
      <c r="J263" s="41" t="s">
        <v>456</v>
      </c>
      <c r="K263" s="61" t="s">
        <v>1253</v>
      </c>
      <c r="L263" s="40"/>
      <c r="M263" s="40"/>
      <c r="N263" s="36" t="s">
        <v>435</v>
      </c>
    </row>
    <row r="264" spans="1:14" ht="12.75" customHeight="1" thickTop="1">
      <c r="A264" s="26" t="s">
        <v>457</v>
      </c>
      <c r="B264" s="43" t="s">
        <v>458</v>
      </c>
      <c r="C264" s="44" t="s">
        <v>459</v>
      </c>
      <c r="D264" s="45" t="s">
        <v>440</v>
      </c>
      <c r="E264" s="46" t="s">
        <v>461</v>
      </c>
      <c r="F264" s="46" t="s">
        <v>462</v>
      </c>
      <c r="G264" s="46" t="s">
        <v>463</v>
      </c>
      <c r="H264" s="46" t="s">
        <v>464</v>
      </c>
      <c r="I264" s="46" t="s">
        <v>467</v>
      </c>
      <c r="J264" s="46" t="s">
        <v>466</v>
      </c>
      <c r="K264" s="46" t="s">
        <v>447</v>
      </c>
      <c r="L264" s="46" t="s">
        <v>469</v>
      </c>
      <c r="M264" s="47" t="s">
        <v>442</v>
      </c>
      <c r="N264" s="42" t="s">
        <v>439</v>
      </c>
    </row>
    <row r="265" spans="1:14" ht="12.75" customHeight="1">
      <c r="A265" s="157" t="s">
        <v>2122</v>
      </c>
      <c r="B265" s="179" t="s">
        <v>2123</v>
      </c>
      <c r="C265" s="180" t="s">
        <v>595</v>
      </c>
      <c r="D265" s="182" t="s">
        <v>1256</v>
      </c>
      <c r="E265" s="179"/>
      <c r="F265" s="179"/>
      <c r="G265" s="179"/>
      <c r="H265" s="179"/>
      <c r="I265" s="179" t="s">
        <v>1254</v>
      </c>
      <c r="J265" s="179" t="s">
        <v>1254</v>
      </c>
      <c r="K265" s="179"/>
      <c r="L265" s="183"/>
      <c r="M265" s="82"/>
      <c r="N265" s="296" t="s">
        <v>1263</v>
      </c>
    </row>
    <row r="266" spans="1:14" ht="12.75" customHeight="1">
      <c r="A266" s="157" t="s">
        <v>2124</v>
      </c>
      <c r="B266" s="179" t="s">
        <v>2125</v>
      </c>
      <c r="C266" s="180" t="s">
        <v>595</v>
      </c>
      <c r="D266" s="182" t="s">
        <v>1270</v>
      </c>
      <c r="E266" s="179"/>
      <c r="F266" s="179"/>
      <c r="G266" s="179" t="s">
        <v>1254</v>
      </c>
      <c r="H266" s="179" t="s">
        <v>1254</v>
      </c>
      <c r="I266" s="179"/>
      <c r="J266" s="179"/>
      <c r="K266" s="179"/>
      <c r="L266" s="183"/>
      <c r="M266" s="82"/>
      <c r="N266" s="296" t="s">
        <v>1264</v>
      </c>
    </row>
    <row r="267" spans="1:14" ht="12.75" customHeight="1">
      <c r="A267" s="157" t="s">
        <v>2126</v>
      </c>
      <c r="B267" s="179" t="s">
        <v>2127</v>
      </c>
      <c r="C267" s="180" t="s">
        <v>595</v>
      </c>
      <c r="D267" s="182" t="s">
        <v>1270</v>
      </c>
      <c r="E267" s="179" t="s">
        <v>1254</v>
      </c>
      <c r="F267" s="179" t="s">
        <v>1254</v>
      </c>
      <c r="G267" s="179"/>
      <c r="H267" s="179"/>
      <c r="I267" s="179"/>
      <c r="J267" s="179"/>
      <c r="K267" s="179"/>
      <c r="L267" s="183"/>
      <c r="M267" s="92"/>
      <c r="N267" s="296" t="s">
        <v>1265</v>
      </c>
    </row>
    <row r="268" spans="1:14" ht="12.75" customHeight="1" thickBot="1">
      <c r="A268" s="157" t="s">
        <v>2129</v>
      </c>
      <c r="B268" s="179" t="s">
        <v>2130</v>
      </c>
      <c r="C268" s="180" t="s">
        <v>595</v>
      </c>
      <c r="D268" s="206" t="s">
        <v>1257</v>
      </c>
      <c r="E268" s="179"/>
      <c r="F268" s="179"/>
      <c r="G268" s="179"/>
      <c r="H268" s="179"/>
      <c r="I268" s="179"/>
      <c r="J268" s="179"/>
      <c r="K268" s="179" t="s">
        <v>1254</v>
      </c>
      <c r="L268" s="179" t="s">
        <v>1254</v>
      </c>
      <c r="M268" s="92"/>
      <c r="N268" s="296" t="s">
        <v>1266</v>
      </c>
    </row>
    <row r="269" spans="1:14" ht="12.75" customHeight="1" thickTop="1">
      <c r="A269" s="157" t="s">
        <v>2132</v>
      </c>
      <c r="B269" s="185" t="s">
        <v>2134</v>
      </c>
      <c r="C269" s="186" t="s">
        <v>596</v>
      </c>
      <c r="D269" s="184" t="s">
        <v>668</v>
      </c>
      <c r="E269" s="185"/>
      <c r="F269" s="185"/>
      <c r="G269" s="185"/>
      <c r="H269" s="185"/>
      <c r="I269" s="179" t="s">
        <v>1254</v>
      </c>
      <c r="J269" s="179" t="s">
        <v>1254</v>
      </c>
      <c r="K269" s="185"/>
      <c r="L269" s="187"/>
      <c r="M269" s="82"/>
      <c r="N269" s="296" t="s">
        <v>1267</v>
      </c>
    </row>
    <row r="270" spans="1:14" ht="12.75" customHeight="1">
      <c r="A270" s="157" t="s">
        <v>2136</v>
      </c>
      <c r="B270" s="179" t="s">
        <v>2138</v>
      </c>
      <c r="C270" s="180" t="s">
        <v>596</v>
      </c>
      <c r="D270" s="182" t="s">
        <v>1256</v>
      </c>
      <c r="E270" s="179"/>
      <c r="F270" s="179" t="s">
        <v>1254</v>
      </c>
      <c r="G270" s="179"/>
      <c r="H270" s="179" t="s">
        <v>1254</v>
      </c>
      <c r="I270" s="179"/>
      <c r="J270" s="179"/>
      <c r="K270" s="179"/>
      <c r="L270" s="183"/>
      <c r="M270" s="92"/>
      <c r="N270" s="296" t="s">
        <v>1268</v>
      </c>
    </row>
    <row r="271" spans="1:14" ht="12.75" customHeight="1">
      <c r="A271" s="157" t="s">
        <v>2140</v>
      </c>
      <c r="B271" s="179" t="s">
        <v>2142</v>
      </c>
      <c r="C271" s="180" t="s">
        <v>596</v>
      </c>
      <c r="D271" s="182" t="s">
        <v>1258</v>
      </c>
      <c r="E271" s="179" t="s">
        <v>1254</v>
      </c>
      <c r="F271" s="179"/>
      <c r="G271" s="179" t="s">
        <v>1254</v>
      </c>
      <c r="H271" s="179"/>
      <c r="I271" s="179"/>
      <c r="J271" s="179"/>
      <c r="K271" s="179"/>
      <c r="L271" s="183"/>
      <c r="M271" s="82"/>
      <c r="N271" s="296" t="s">
        <v>1269</v>
      </c>
    </row>
    <row r="272" spans="1:14" ht="12.75" customHeight="1" thickBot="1">
      <c r="A272" s="157" t="s">
        <v>2144</v>
      </c>
      <c r="B272" s="188"/>
      <c r="C272" s="189"/>
      <c r="D272" s="184"/>
      <c r="E272" s="188"/>
      <c r="F272" s="199"/>
      <c r="G272" s="188"/>
      <c r="H272" s="188"/>
      <c r="I272" s="188"/>
      <c r="J272" s="188"/>
      <c r="K272" s="199"/>
      <c r="L272" s="205"/>
      <c r="M272" s="108"/>
      <c r="N272" s="164"/>
    </row>
    <row r="273" ht="12.75" customHeight="1" thickTop="1"/>
  </sheetData>
  <protectedRanges>
    <protectedRange sqref="N76" name="Range1"/>
  </protectedRanges>
  <mergeCells count="13">
    <mergeCell ref="A117:N117"/>
    <mergeCell ref="A13:N13"/>
    <mergeCell ref="A26:N26"/>
    <mergeCell ref="A39:N39"/>
    <mergeCell ref="A91:N91"/>
    <mergeCell ref="A104:N104"/>
    <mergeCell ref="A130:N130"/>
    <mergeCell ref="A143:N143"/>
    <mergeCell ref="A195:N195"/>
    <mergeCell ref="A156:N156"/>
    <mergeCell ref="D159:F159"/>
    <mergeCell ref="A182:N182"/>
    <mergeCell ref="A169:N169"/>
  </mergeCells>
  <phoneticPr fontId="9" type="noConversion"/>
  <conditionalFormatting sqref="B5">
    <cfRule type="duplicateValues" dxfId="62" priority="63"/>
  </conditionalFormatting>
  <conditionalFormatting sqref="B6">
    <cfRule type="duplicateValues" dxfId="61" priority="62"/>
  </conditionalFormatting>
  <conditionalFormatting sqref="B7">
    <cfRule type="duplicateValues" dxfId="60" priority="61"/>
  </conditionalFormatting>
  <conditionalFormatting sqref="B8">
    <cfRule type="duplicateValues" dxfId="59" priority="60"/>
  </conditionalFormatting>
  <conditionalFormatting sqref="B9">
    <cfRule type="duplicateValues" dxfId="58" priority="59"/>
  </conditionalFormatting>
  <conditionalFormatting sqref="B10">
    <cfRule type="duplicateValues" dxfId="57" priority="58"/>
  </conditionalFormatting>
  <conditionalFormatting sqref="B11">
    <cfRule type="duplicateValues" dxfId="56" priority="57"/>
  </conditionalFormatting>
  <conditionalFormatting sqref="B12">
    <cfRule type="duplicateValues" dxfId="55" priority="56"/>
  </conditionalFormatting>
  <conditionalFormatting sqref="B18">
    <cfRule type="duplicateValues" dxfId="54" priority="55"/>
  </conditionalFormatting>
  <conditionalFormatting sqref="B20">
    <cfRule type="duplicateValues" dxfId="53" priority="54"/>
  </conditionalFormatting>
  <conditionalFormatting sqref="B21">
    <cfRule type="duplicateValues" dxfId="52" priority="53"/>
  </conditionalFormatting>
  <conditionalFormatting sqref="B22">
    <cfRule type="duplicateValues" dxfId="51" priority="52"/>
  </conditionalFormatting>
  <conditionalFormatting sqref="B23">
    <cfRule type="duplicateValues" dxfId="50" priority="51"/>
  </conditionalFormatting>
  <conditionalFormatting sqref="B32">
    <cfRule type="duplicateValues" dxfId="49" priority="49"/>
    <cfRule type="duplicateValues" dxfId="48" priority="50"/>
  </conditionalFormatting>
  <conditionalFormatting sqref="B33">
    <cfRule type="duplicateValues" dxfId="47" priority="47"/>
    <cfRule type="duplicateValues" dxfId="46" priority="48"/>
  </conditionalFormatting>
  <conditionalFormatting sqref="B34">
    <cfRule type="duplicateValues" dxfId="45" priority="45"/>
    <cfRule type="duplicateValues" dxfId="44" priority="46"/>
  </conditionalFormatting>
  <conditionalFormatting sqref="B35">
    <cfRule type="duplicateValues" dxfId="43" priority="43"/>
    <cfRule type="duplicateValues" dxfId="42" priority="44"/>
  </conditionalFormatting>
  <conditionalFormatting sqref="B36">
    <cfRule type="duplicateValues" dxfId="41" priority="41"/>
    <cfRule type="duplicateValues" dxfId="40" priority="42"/>
  </conditionalFormatting>
  <conditionalFormatting sqref="B37">
    <cfRule type="duplicateValues" dxfId="39" priority="39"/>
    <cfRule type="duplicateValues" dxfId="38" priority="40"/>
  </conditionalFormatting>
  <conditionalFormatting sqref="B38">
    <cfRule type="duplicateValues" dxfId="37" priority="37"/>
    <cfRule type="duplicateValues" dxfId="36" priority="38"/>
  </conditionalFormatting>
  <conditionalFormatting sqref="B44">
    <cfRule type="duplicateValues" dxfId="35" priority="35"/>
    <cfRule type="duplicateValues" dxfId="34" priority="36"/>
  </conditionalFormatting>
  <conditionalFormatting sqref="B45">
    <cfRule type="duplicateValues" dxfId="33" priority="33"/>
    <cfRule type="duplicateValues" dxfId="32" priority="34"/>
  </conditionalFormatting>
  <conditionalFormatting sqref="B46">
    <cfRule type="duplicateValues" dxfId="31" priority="31"/>
    <cfRule type="duplicateValues" dxfId="30" priority="32"/>
  </conditionalFormatting>
  <conditionalFormatting sqref="B47">
    <cfRule type="duplicateValues" dxfId="29" priority="29"/>
    <cfRule type="duplicateValues" dxfId="28" priority="30"/>
  </conditionalFormatting>
  <conditionalFormatting sqref="B48">
    <cfRule type="duplicateValues" dxfId="27" priority="27"/>
    <cfRule type="duplicateValues" dxfId="26" priority="28"/>
  </conditionalFormatting>
  <conditionalFormatting sqref="B49">
    <cfRule type="duplicateValues" dxfId="25" priority="25"/>
    <cfRule type="duplicateValues" dxfId="24" priority="26"/>
  </conditionalFormatting>
  <conditionalFormatting sqref="B50">
    <cfRule type="duplicateValues" dxfId="23" priority="23"/>
    <cfRule type="duplicateValues" dxfId="22" priority="24"/>
  </conditionalFormatting>
  <conditionalFormatting sqref="B51">
    <cfRule type="duplicateValues" dxfId="21" priority="21"/>
    <cfRule type="duplicateValues" dxfId="20" priority="22"/>
  </conditionalFormatting>
  <conditionalFormatting sqref="B57">
    <cfRule type="duplicateValues" dxfId="19" priority="20"/>
  </conditionalFormatting>
  <conditionalFormatting sqref="B58">
    <cfRule type="duplicateValues" dxfId="18" priority="19"/>
  </conditionalFormatting>
  <conditionalFormatting sqref="B59">
    <cfRule type="duplicateValues" dxfId="17" priority="15"/>
    <cfRule type="duplicateValues" dxfId="16" priority="16"/>
    <cfRule type="duplicateValues" dxfId="15" priority="17"/>
    <cfRule type="duplicateValues" dxfId="14" priority="18"/>
  </conditionalFormatting>
  <conditionalFormatting sqref="B60">
    <cfRule type="duplicateValues" dxfId="13" priority="11"/>
    <cfRule type="duplicateValues" dxfId="12" priority="12"/>
    <cfRule type="duplicateValues" dxfId="11" priority="13"/>
    <cfRule type="duplicateValues" dxfId="10" priority="14"/>
  </conditionalFormatting>
  <conditionalFormatting sqref="B61">
    <cfRule type="duplicateValues" dxfId="9" priority="7"/>
    <cfRule type="duplicateValues" dxfId="8" priority="8"/>
    <cfRule type="duplicateValues" dxfId="7" priority="9"/>
    <cfRule type="duplicateValues" dxfId="6" priority="10"/>
  </conditionalFormatting>
  <conditionalFormatting sqref="B62">
    <cfRule type="duplicateValues" dxfId="5" priority="3"/>
    <cfRule type="duplicateValues" dxfId="4" priority="4"/>
    <cfRule type="duplicateValues" dxfId="3" priority="5"/>
    <cfRule type="duplicateValues" dxfId="2" priority="6"/>
  </conditionalFormatting>
  <conditionalFormatting sqref="B63">
    <cfRule type="duplicateValues" dxfId="1" priority="2"/>
  </conditionalFormatting>
  <conditionalFormatting sqref="B64">
    <cfRule type="duplicateValues" dxfId="0" priority="1"/>
  </conditionalFormatting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7"/>
  <dimension ref="A1:N207"/>
  <sheetViews>
    <sheetView workbookViewId="0">
      <selection activeCell="C9" sqref="C9"/>
    </sheetView>
  </sheetViews>
  <sheetFormatPr defaultColWidth="9" defaultRowHeight="14.25"/>
  <cols>
    <col min="5" max="13" width="4.625" customWidth="1"/>
    <col min="14" max="14" width="30.5" customWidth="1"/>
  </cols>
  <sheetData>
    <row r="1" spans="1:14">
      <c r="A1">
        <v>16</v>
      </c>
      <c r="B1" s="161" t="s">
        <v>433</v>
      </c>
      <c r="N1">
        <v>11</v>
      </c>
    </row>
    <row r="3" spans="1:14" ht="29.25" thickBot="1">
      <c r="A3" s="36" t="s">
        <v>435</v>
      </c>
      <c r="B3" s="61" t="s">
        <v>445</v>
      </c>
      <c r="C3" s="40"/>
      <c r="D3" s="36" t="s">
        <v>436</v>
      </c>
      <c r="E3" s="39" t="s">
        <v>444</v>
      </c>
      <c r="F3" s="40"/>
      <c r="G3" s="41" t="s">
        <v>455</v>
      </c>
      <c r="H3" s="61" t="s">
        <v>666</v>
      </c>
      <c r="I3" s="40"/>
      <c r="J3" s="41" t="s">
        <v>456</v>
      </c>
      <c r="K3" s="61" t="s">
        <v>667</v>
      </c>
      <c r="L3" s="40"/>
      <c r="M3" s="40"/>
      <c r="N3" s="36" t="s">
        <v>435</v>
      </c>
    </row>
    <row r="4" spans="1:14" ht="23.25" thickTop="1">
      <c r="A4" s="87" t="s">
        <v>439</v>
      </c>
      <c r="B4" s="88" t="s">
        <v>458</v>
      </c>
      <c r="C4" s="89" t="s">
        <v>459</v>
      </c>
      <c r="D4" s="90" t="s">
        <v>440</v>
      </c>
      <c r="E4" s="88" t="s">
        <v>461</v>
      </c>
      <c r="F4" s="88" t="s">
        <v>462</v>
      </c>
      <c r="G4" s="88" t="s">
        <v>463</v>
      </c>
      <c r="H4" s="88" t="s">
        <v>441</v>
      </c>
      <c r="I4" s="88" t="s">
        <v>467</v>
      </c>
      <c r="J4" s="88" t="s">
        <v>466</v>
      </c>
      <c r="K4" s="88" t="s">
        <v>470</v>
      </c>
      <c r="L4" s="88" t="s">
        <v>411</v>
      </c>
      <c r="M4" s="91" t="s">
        <v>442</v>
      </c>
      <c r="N4" s="87" t="s">
        <v>439</v>
      </c>
    </row>
    <row r="5" spans="1:14">
      <c r="A5" s="105" t="s">
        <v>2150</v>
      </c>
      <c r="B5" s="228" t="s">
        <v>2151</v>
      </c>
      <c r="C5" s="199" t="s">
        <v>1279</v>
      </c>
      <c r="D5" s="228" t="s">
        <v>1280</v>
      </c>
      <c r="E5" s="229" t="s">
        <v>597</v>
      </c>
      <c r="F5" s="229"/>
      <c r="G5" s="199"/>
      <c r="H5" s="199"/>
      <c r="I5" s="199"/>
      <c r="J5" s="229" t="s">
        <v>597</v>
      </c>
      <c r="K5" s="199"/>
      <c r="L5" s="199"/>
      <c r="M5" s="229"/>
      <c r="N5" s="234" t="s">
        <v>1271</v>
      </c>
    </row>
    <row r="6" spans="1:14">
      <c r="A6" s="109">
        <v>2412</v>
      </c>
      <c r="B6" s="228" t="s">
        <v>2152</v>
      </c>
      <c r="C6" s="199" t="s">
        <v>1279</v>
      </c>
      <c r="D6" s="228" t="s">
        <v>1281</v>
      </c>
      <c r="E6" s="199"/>
      <c r="F6" s="199"/>
      <c r="G6" s="229" t="s">
        <v>597</v>
      </c>
      <c r="H6" s="229" t="s">
        <v>597</v>
      </c>
      <c r="I6" s="199"/>
      <c r="J6" s="199"/>
      <c r="K6" s="199"/>
      <c r="L6" s="199"/>
      <c r="M6" s="199"/>
      <c r="N6" s="233" t="s">
        <v>1272</v>
      </c>
    </row>
    <row r="7" spans="1:14">
      <c r="A7" s="105" t="s">
        <v>2154</v>
      </c>
      <c r="B7" s="228" t="s">
        <v>2155</v>
      </c>
      <c r="C7" s="199" t="s">
        <v>1279</v>
      </c>
      <c r="D7" s="228" t="s">
        <v>1281</v>
      </c>
      <c r="E7" s="229"/>
      <c r="F7" s="229" t="s">
        <v>597</v>
      </c>
      <c r="G7" s="195"/>
      <c r="H7" s="195"/>
      <c r="I7" s="229" t="s">
        <v>597</v>
      </c>
      <c r="J7" s="199"/>
      <c r="K7" s="199"/>
      <c r="L7" s="199"/>
      <c r="M7" s="229"/>
      <c r="N7" s="233" t="s">
        <v>1273</v>
      </c>
    </row>
    <row r="8" spans="1:14" ht="15" thickBot="1">
      <c r="A8" s="106" t="s">
        <v>2156</v>
      </c>
      <c r="B8" s="228" t="s">
        <v>2157</v>
      </c>
      <c r="C8" s="199" t="s">
        <v>1279</v>
      </c>
      <c r="D8" s="230" t="s">
        <v>1282</v>
      </c>
      <c r="E8" s="199"/>
      <c r="F8" s="199"/>
      <c r="G8" s="199"/>
      <c r="H8" s="199"/>
      <c r="I8" s="199"/>
      <c r="J8" s="199"/>
      <c r="K8" s="229" t="s">
        <v>1283</v>
      </c>
      <c r="L8" s="229" t="s">
        <v>597</v>
      </c>
      <c r="M8" s="199"/>
      <c r="N8" s="233" t="s">
        <v>1274</v>
      </c>
    </row>
    <row r="9" spans="1:14" ht="15" thickTop="1">
      <c r="A9" s="107" t="s">
        <v>2159</v>
      </c>
      <c r="B9" s="228" t="s">
        <v>2160</v>
      </c>
      <c r="C9" s="199" t="s">
        <v>1279</v>
      </c>
      <c r="D9" s="228" t="s">
        <v>1281</v>
      </c>
      <c r="E9" s="199"/>
      <c r="F9" s="199"/>
      <c r="G9" s="229" t="s">
        <v>597</v>
      </c>
      <c r="H9" s="229" t="s">
        <v>597</v>
      </c>
      <c r="I9" s="199"/>
      <c r="J9" s="199"/>
      <c r="K9" s="229"/>
      <c r="L9" s="229"/>
      <c r="M9" s="199"/>
      <c r="N9" s="234" t="s">
        <v>1275</v>
      </c>
    </row>
    <row r="10" spans="1:14">
      <c r="A10" s="105" t="s">
        <v>2161</v>
      </c>
      <c r="B10" s="228" t="s">
        <v>2162</v>
      </c>
      <c r="C10" s="199" t="s">
        <v>1279</v>
      </c>
      <c r="D10" s="228" t="s">
        <v>1280</v>
      </c>
      <c r="E10" s="199"/>
      <c r="F10" s="199"/>
      <c r="G10" s="199"/>
      <c r="H10" s="199"/>
      <c r="I10" s="229"/>
      <c r="J10" s="229"/>
      <c r="K10" s="199" t="s">
        <v>597</v>
      </c>
      <c r="L10" s="199" t="s">
        <v>597</v>
      </c>
      <c r="M10" s="199"/>
      <c r="N10" s="233" t="s">
        <v>1276</v>
      </c>
    </row>
    <row r="11" spans="1:14">
      <c r="A11" s="105" t="s">
        <v>2163</v>
      </c>
      <c r="B11" s="228" t="s">
        <v>2164</v>
      </c>
      <c r="C11" s="199" t="s">
        <v>1284</v>
      </c>
      <c r="D11" s="231" t="s">
        <v>1282</v>
      </c>
      <c r="E11" s="229" t="s">
        <v>597</v>
      </c>
      <c r="F11" s="229" t="s">
        <v>597</v>
      </c>
      <c r="G11" s="199"/>
      <c r="H11" s="199"/>
      <c r="I11" s="199"/>
      <c r="J11" s="199"/>
      <c r="K11" s="199"/>
      <c r="L11" s="199"/>
      <c r="M11" s="229"/>
      <c r="N11" s="233" t="s">
        <v>1277</v>
      </c>
    </row>
    <row r="12" spans="1:14" ht="15" thickBot="1">
      <c r="A12" s="106" t="s">
        <v>2165</v>
      </c>
      <c r="B12" s="298" t="s">
        <v>2166</v>
      </c>
      <c r="C12" s="199" t="s">
        <v>1284</v>
      </c>
      <c r="D12" s="231" t="s">
        <v>1282</v>
      </c>
      <c r="E12" s="199"/>
      <c r="G12" s="229" t="s">
        <v>597</v>
      </c>
      <c r="H12" s="229" t="s">
        <v>597</v>
      </c>
      <c r="I12" s="199"/>
      <c r="J12" s="199"/>
      <c r="K12" s="199"/>
      <c r="L12" s="199"/>
      <c r="M12" s="199"/>
      <c r="N12" s="233" t="s">
        <v>1278</v>
      </c>
    </row>
    <row r="13" spans="1:14" ht="15" thickTop="1">
      <c r="A13" s="323"/>
      <c r="B13" s="323"/>
      <c r="C13" s="323"/>
      <c r="D13" s="323"/>
      <c r="E13" s="323"/>
      <c r="F13" s="323"/>
      <c r="G13" s="323"/>
      <c r="H13" s="323"/>
      <c r="I13" s="323"/>
      <c r="J13" s="323"/>
      <c r="K13" s="323"/>
      <c r="L13" s="323"/>
      <c r="M13" s="323"/>
      <c r="N13" s="323"/>
    </row>
    <row r="14" spans="1:14">
      <c r="B14">
        <v>41</v>
      </c>
    </row>
    <row r="16" spans="1:14" ht="29.25" thickBot="1">
      <c r="A16" s="36" t="s">
        <v>435</v>
      </c>
      <c r="B16" s="61" t="s">
        <v>412</v>
      </c>
      <c r="C16" s="40"/>
      <c r="D16" s="36" t="s">
        <v>436</v>
      </c>
      <c r="E16" s="39" t="s">
        <v>444</v>
      </c>
      <c r="F16" s="40"/>
      <c r="G16" s="41" t="s">
        <v>455</v>
      </c>
      <c r="H16" s="322" t="s">
        <v>665</v>
      </c>
      <c r="I16" s="322"/>
      <c r="J16" s="41" t="s">
        <v>456</v>
      </c>
      <c r="K16" s="235" t="s">
        <v>667</v>
      </c>
      <c r="L16" s="235"/>
      <c r="M16" s="40"/>
      <c r="N16" s="36" t="s">
        <v>435</v>
      </c>
    </row>
    <row r="17" spans="1:14" ht="23.25" thickTop="1">
      <c r="A17" s="87" t="s">
        <v>439</v>
      </c>
      <c r="B17" s="88" t="s">
        <v>458</v>
      </c>
      <c r="C17" s="89" t="s">
        <v>459</v>
      </c>
      <c r="D17" s="90" t="s">
        <v>440</v>
      </c>
      <c r="E17" s="88" t="s">
        <v>461</v>
      </c>
      <c r="F17" s="88" t="s">
        <v>462</v>
      </c>
      <c r="G17" s="88" t="s">
        <v>463</v>
      </c>
      <c r="H17" s="88" t="s">
        <v>441</v>
      </c>
      <c r="I17" s="88" t="s">
        <v>467</v>
      </c>
      <c r="J17" s="88" t="s">
        <v>466</v>
      </c>
      <c r="K17" s="88" t="s">
        <v>470</v>
      </c>
      <c r="L17" s="88" t="s">
        <v>411</v>
      </c>
      <c r="M17" s="91" t="s">
        <v>442</v>
      </c>
      <c r="N17" s="87" t="s">
        <v>439</v>
      </c>
    </row>
    <row r="18" spans="1:14">
      <c r="A18" s="105" t="s">
        <v>2169</v>
      </c>
      <c r="B18" s="298" t="s">
        <v>2170</v>
      </c>
      <c r="C18" s="199" t="s">
        <v>1284</v>
      </c>
      <c r="D18" s="228" t="s">
        <v>1282</v>
      </c>
      <c r="E18" s="199"/>
      <c r="F18" s="199"/>
      <c r="G18" s="199"/>
      <c r="H18" s="199"/>
      <c r="I18" s="229" t="s">
        <v>597</v>
      </c>
      <c r="J18" s="229" t="s">
        <v>597</v>
      </c>
      <c r="K18" s="199"/>
      <c r="L18" s="199"/>
      <c r="M18" s="229"/>
      <c r="N18" s="233" t="s">
        <v>1285</v>
      </c>
    </row>
    <row r="19" spans="1:14">
      <c r="A19" s="105" t="s">
        <v>2171</v>
      </c>
      <c r="B19" s="298" t="s">
        <v>2172</v>
      </c>
      <c r="C19" s="199" t="s">
        <v>1284</v>
      </c>
      <c r="D19" s="228" t="s">
        <v>1281</v>
      </c>
      <c r="E19" s="229" t="s">
        <v>1283</v>
      </c>
      <c r="F19" s="199" t="s">
        <v>597</v>
      </c>
      <c r="G19" s="199"/>
      <c r="H19" s="199"/>
      <c r="I19" s="199"/>
      <c r="J19" s="199"/>
      <c r="K19" s="229"/>
      <c r="L19" s="229"/>
      <c r="M19" s="199"/>
      <c r="N19" s="233" t="s">
        <v>1286</v>
      </c>
    </row>
    <row r="20" spans="1:14">
      <c r="A20" s="105" t="s">
        <v>2173</v>
      </c>
      <c r="B20" s="298" t="s">
        <v>2174</v>
      </c>
      <c r="C20" s="199" t="s">
        <v>1284</v>
      </c>
      <c r="D20" s="230" t="s">
        <v>1280</v>
      </c>
      <c r="E20" s="199"/>
      <c r="F20" s="199"/>
      <c r="G20" s="199"/>
      <c r="H20" s="199"/>
      <c r="I20" s="199"/>
      <c r="J20" s="199"/>
      <c r="K20" s="229" t="s">
        <v>597</v>
      </c>
      <c r="L20" s="229" t="s">
        <v>597</v>
      </c>
      <c r="M20" s="199"/>
      <c r="N20" s="233" t="s">
        <v>1287</v>
      </c>
    </row>
    <row r="21" spans="1:14" ht="15" thickBot="1">
      <c r="A21" s="106" t="s">
        <v>2175</v>
      </c>
      <c r="B21" s="298" t="s">
        <v>2176</v>
      </c>
      <c r="C21" s="199" t="s">
        <v>1284</v>
      </c>
      <c r="D21" s="228" t="s">
        <v>1280</v>
      </c>
      <c r="E21" s="199"/>
      <c r="F21" s="199"/>
      <c r="G21" s="199"/>
      <c r="H21" s="199"/>
      <c r="I21" s="229" t="s">
        <v>597</v>
      </c>
      <c r="J21" s="229" t="s">
        <v>597</v>
      </c>
      <c r="K21" s="199"/>
      <c r="L21" s="199"/>
      <c r="M21" s="199"/>
      <c r="N21" s="233" t="s">
        <v>1288</v>
      </c>
    </row>
    <row r="22" spans="1:14" ht="15" thickTop="1">
      <c r="A22" s="107" t="s">
        <v>2178</v>
      </c>
      <c r="B22" s="71"/>
      <c r="C22" s="72"/>
      <c r="D22" s="66"/>
      <c r="E22" s="93"/>
      <c r="F22" s="93"/>
      <c r="G22" s="93"/>
      <c r="H22" s="93"/>
      <c r="I22" s="93"/>
      <c r="J22" s="93"/>
      <c r="K22" s="93"/>
      <c r="L22" s="93"/>
      <c r="M22" s="92"/>
      <c r="N22" s="107"/>
    </row>
    <row r="23" spans="1:14">
      <c r="A23" s="105" t="s">
        <v>2178</v>
      </c>
      <c r="B23" s="64"/>
      <c r="C23" s="65"/>
      <c r="D23" s="66"/>
      <c r="E23" s="64"/>
      <c r="F23" s="64"/>
      <c r="G23" s="64"/>
      <c r="H23" s="64"/>
      <c r="I23" s="64"/>
      <c r="J23" s="64"/>
      <c r="K23" s="64"/>
      <c r="L23" s="64"/>
      <c r="M23" s="92"/>
      <c r="N23" s="105"/>
    </row>
    <row r="24" spans="1:14">
      <c r="A24" s="105" t="s">
        <v>2178</v>
      </c>
      <c r="B24" s="64"/>
      <c r="C24" s="65"/>
      <c r="D24" s="66"/>
      <c r="E24" s="64"/>
      <c r="F24" s="64"/>
      <c r="G24" s="64"/>
      <c r="H24" s="64"/>
      <c r="I24" s="64"/>
      <c r="J24" s="64"/>
      <c r="K24" s="64"/>
      <c r="L24" s="64"/>
      <c r="M24" s="92"/>
      <c r="N24" s="105"/>
    </row>
    <row r="25" spans="1:14" ht="15" thickBot="1">
      <c r="A25" s="106" t="s">
        <v>2178</v>
      </c>
      <c r="B25" s="74"/>
      <c r="C25" s="70"/>
      <c r="D25" s="66"/>
      <c r="E25" s="74"/>
      <c r="F25" s="74"/>
      <c r="G25" s="74"/>
      <c r="H25" s="74"/>
      <c r="I25" s="74"/>
      <c r="J25" s="74"/>
      <c r="K25" s="74"/>
      <c r="L25" s="74"/>
      <c r="M25" s="108"/>
      <c r="N25" s="106"/>
    </row>
    <row r="26" spans="1:14" ht="15" thickTop="1">
      <c r="A26" s="323"/>
      <c r="B26" s="323"/>
      <c r="C26" s="323"/>
      <c r="D26" s="323"/>
      <c r="E26" s="323"/>
      <c r="F26" s="323"/>
      <c r="G26" s="323"/>
      <c r="H26" s="323"/>
      <c r="I26" s="323"/>
      <c r="J26" s="323"/>
      <c r="K26" s="323"/>
      <c r="L26" s="323"/>
      <c r="M26" s="323"/>
      <c r="N26" s="323"/>
    </row>
    <row r="27" spans="1:14">
      <c r="B27">
        <v>42</v>
      </c>
    </row>
    <row r="29" spans="1:14" ht="29.25" thickBot="1">
      <c r="A29" s="36" t="s">
        <v>435</v>
      </c>
      <c r="B29" s="61" t="s">
        <v>413</v>
      </c>
      <c r="C29" s="40"/>
      <c r="D29" s="36" t="s">
        <v>436</v>
      </c>
      <c r="E29" s="39" t="s">
        <v>444</v>
      </c>
      <c r="F29" s="40"/>
      <c r="G29" s="41" t="s">
        <v>455</v>
      </c>
      <c r="H29" s="322" t="s">
        <v>665</v>
      </c>
      <c r="I29" s="322"/>
      <c r="J29" s="41" t="s">
        <v>456</v>
      </c>
      <c r="K29" s="235" t="s">
        <v>1301</v>
      </c>
      <c r="L29" s="235"/>
      <c r="M29" s="40"/>
      <c r="N29" s="36" t="s">
        <v>435</v>
      </c>
    </row>
    <row r="30" spans="1:14" ht="23.25" thickTop="1">
      <c r="A30" s="87" t="s">
        <v>439</v>
      </c>
      <c r="B30" s="88" t="s">
        <v>458</v>
      </c>
      <c r="C30" s="89" t="s">
        <v>459</v>
      </c>
      <c r="D30" s="90" t="s">
        <v>440</v>
      </c>
      <c r="E30" s="88" t="s">
        <v>461</v>
      </c>
      <c r="F30" s="88" t="s">
        <v>462</v>
      </c>
      <c r="G30" s="88" t="s">
        <v>463</v>
      </c>
      <c r="H30" s="88" t="s">
        <v>441</v>
      </c>
      <c r="I30" s="88" t="s">
        <v>467</v>
      </c>
      <c r="J30" s="88" t="s">
        <v>466</v>
      </c>
      <c r="K30" s="88" t="s">
        <v>470</v>
      </c>
      <c r="L30" s="88" t="s">
        <v>411</v>
      </c>
      <c r="M30" s="91" t="s">
        <v>442</v>
      </c>
      <c r="N30" s="87" t="s">
        <v>439</v>
      </c>
    </row>
    <row r="31" spans="1:14">
      <c r="A31" s="105" t="s">
        <v>2184</v>
      </c>
      <c r="B31" s="244" t="s">
        <v>2185</v>
      </c>
      <c r="C31" s="199" t="s">
        <v>1279</v>
      </c>
      <c r="D31" s="228" t="s">
        <v>1280</v>
      </c>
      <c r="E31" s="229" t="s">
        <v>597</v>
      </c>
      <c r="F31" s="229" t="s">
        <v>597</v>
      </c>
      <c r="G31" s="199"/>
      <c r="H31" s="199"/>
      <c r="I31" s="199"/>
      <c r="J31" s="199"/>
      <c r="K31" s="199"/>
      <c r="L31" s="199"/>
      <c r="M31" s="229"/>
      <c r="N31" s="233" t="s">
        <v>1289</v>
      </c>
    </row>
    <row r="32" spans="1:14">
      <c r="A32" s="105" t="s">
        <v>2186</v>
      </c>
      <c r="B32" s="244" t="s">
        <v>2187</v>
      </c>
      <c r="C32" s="199" t="s">
        <v>1279</v>
      </c>
      <c r="D32" s="228" t="s">
        <v>1281</v>
      </c>
      <c r="E32" s="229"/>
      <c r="F32" s="229"/>
      <c r="G32" s="199"/>
      <c r="H32" s="199"/>
      <c r="I32" s="199" t="s">
        <v>597</v>
      </c>
      <c r="J32" s="199" t="s">
        <v>597</v>
      </c>
      <c r="K32" s="199"/>
      <c r="L32" s="199"/>
      <c r="M32" s="229"/>
      <c r="N32" s="233" t="s">
        <v>1290</v>
      </c>
    </row>
    <row r="33" spans="1:14">
      <c r="A33" s="105" t="s">
        <v>2189</v>
      </c>
      <c r="B33" s="199" t="s">
        <v>2190</v>
      </c>
      <c r="C33" s="199" t="s">
        <v>1279</v>
      </c>
      <c r="D33" s="228" t="s">
        <v>1281</v>
      </c>
      <c r="E33" s="199"/>
      <c r="F33" s="199"/>
      <c r="G33" s="199"/>
      <c r="H33" s="199"/>
      <c r="I33" s="229" t="s">
        <v>597</v>
      </c>
      <c r="J33" s="229" t="s">
        <v>597</v>
      </c>
      <c r="K33" s="199"/>
      <c r="L33" s="199"/>
      <c r="M33" s="199"/>
      <c r="N33" s="233" t="s">
        <v>1291</v>
      </c>
    </row>
    <row r="34" spans="1:14" ht="15" thickBot="1">
      <c r="A34" s="106" t="s">
        <v>2191</v>
      </c>
      <c r="B34" s="199" t="s">
        <v>2192</v>
      </c>
      <c r="C34" s="199" t="s">
        <v>1279</v>
      </c>
      <c r="D34" s="230" t="s">
        <v>1282</v>
      </c>
      <c r="E34" s="199"/>
      <c r="F34" s="199"/>
      <c r="G34" s="229" t="s">
        <v>597</v>
      </c>
      <c r="H34" s="229" t="s">
        <v>597</v>
      </c>
      <c r="I34" s="199"/>
      <c r="J34" s="199"/>
      <c r="K34" s="229"/>
      <c r="L34" s="229"/>
      <c r="M34" s="199"/>
      <c r="N34" s="234" t="s">
        <v>1292</v>
      </c>
    </row>
    <row r="35" spans="1:14" ht="15" thickTop="1">
      <c r="A35" s="107" t="s">
        <v>2193</v>
      </c>
      <c r="B35" s="199" t="s">
        <v>2194</v>
      </c>
      <c r="C35" s="199" t="s">
        <v>1279</v>
      </c>
      <c r="D35" s="228" t="s">
        <v>1281</v>
      </c>
      <c r="E35" s="199"/>
      <c r="F35" s="199"/>
      <c r="G35" s="199"/>
      <c r="H35" s="199"/>
      <c r="I35" s="199"/>
      <c r="J35" s="199"/>
      <c r="K35" s="229" t="s">
        <v>597</v>
      </c>
      <c r="L35" s="229" t="s">
        <v>597</v>
      </c>
      <c r="M35" s="199"/>
      <c r="N35" s="233" t="s">
        <v>1293</v>
      </c>
    </row>
    <row r="36" spans="1:14">
      <c r="A36" s="105" t="s">
        <v>2195</v>
      </c>
      <c r="B36" s="199" t="s">
        <v>2196</v>
      </c>
      <c r="C36" s="199" t="s">
        <v>1279</v>
      </c>
      <c r="D36" s="228" t="s">
        <v>1280</v>
      </c>
      <c r="E36" s="199"/>
      <c r="F36" s="199"/>
      <c r="G36" s="199"/>
      <c r="H36" s="199"/>
      <c r="I36" s="199"/>
      <c r="J36" s="199"/>
      <c r="K36" s="229" t="s">
        <v>597</v>
      </c>
      <c r="L36" s="229" t="s">
        <v>597</v>
      </c>
      <c r="M36" s="199"/>
      <c r="N36" s="233" t="s">
        <v>1294</v>
      </c>
    </row>
    <row r="37" spans="1:14">
      <c r="A37" s="105" t="s">
        <v>2198</v>
      </c>
      <c r="B37" s="199" t="s">
        <v>2199</v>
      </c>
      <c r="C37" s="199" t="s">
        <v>1284</v>
      </c>
      <c r="D37" s="231" t="s">
        <v>1282</v>
      </c>
      <c r="E37" s="229" t="s">
        <v>597</v>
      </c>
      <c r="F37" s="229" t="s">
        <v>597</v>
      </c>
      <c r="G37" s="199"/>
      <c r="H37" s="199"/>
      <c r="I37" s="199"/>
      <c r="J37" s="199"/>
      <c r="K37" s="199"/>
      <c r="L37" s="199"/>
      <c r="M37" s="229"/>
      <c r="N37" s="233" t="s">
        <v>1295</v>
      </c>
    </row>
    <row r="38" spans="1:14" ht="15" thickBot="1">
      <c r="A38" s="106" t="s">
        <v>2200</v>
      </c>
      <c r="B38" s="199" t="s">
        <v>2201</v>
      </c>
      <c r="C38" s="199" t="s">
        <v>1284</v>
      </c>
      <c r="D38" s="231" t="s">
        <v>1282</v>
      </c>
      <c r="E38" s="199"/>
      <c r="F38" s="199" t="s">
        <v>597</v>
      </c>
      <c r="G38" s="199" t="s">
        <v>597</v>
      </c>
      <c r="H38" s="199"/>
      <c r="I38" s="229"/>
      <c r="J38" s="229"/>
      <c r="K38" s="199"/>
      <c r="L38" s="199"/>
      <c r="M38" s="229"/>
      <c r="N38" s="233" t="s">
        <v>1296</v>
      </c>
    </row>
    <row r="39" spans="1:14" ht="15" thickTop="1">
      <c r="A39" s="323"/>
      <c r="B39" s="323"/>
      <c r="C39" s="323"/>
      <c r="D39" s="323"/>
      <c r="E39" s="323"/>
      <c r="F39" s="323"/>
      <c r="G39" s="323"/>
      <c r="H39" s="323"/>
      <c r="I39" s="323"/>
      <c r="J39" s="323"/>
      <c r="K39" s="323"/>
      <c r="L39" s="323"/>
      <c r="M39" s="323"/>
      <c r="N39" s="323"/>
    </row>
    <row r="40" spans="1:14">
      <c r="A40">
        <v>22710</v>
      </c>
      <c r="B40">
        <v>42</v>
      </c>
      <c r="N40">
        <v>22710</v>
      </c>
    </row>
    <row r="41" spans="1:14">
      <c r="A41">
        <v>22711</v>
      </c>
      <c r="N41">
        <v>22711</v>
      </c>
    </row>
    <row r="42" spans="1:14" ht="29.25" thickBot="1">
      <c r="A42" s="36" t="s">
        <v>435</v>
      </c>
      <c r="B42" s="110" t="s">
        <v>489</v>
      </c>
      <c r="C42" s="111"/>
      <c r="D42" s="36" t="s">
        <v>436</v>
      </c>
      <c r="E42" s="112" t="s">
        <v>444</v>
      </c>
      <c r="F42" s="111"/>
      <c r="G42" s="113" t="s">
        <v>455</v>
      </c>
      <c r="H42" s="61" t="s">
        <v>666</v>
      </c>
      <c r="I42" s="111"/>
      <c r="J42" s="113" t="s">
        <v>456</v>
      </c>
      <c r="K42" s="235" t="s">
        <v>1301</v>
      </c>
      <c r="L42" s="111"/>
      <c r="M42" s="111"/>
      <c r="N42" s="36" t="s">
        <v>435</v>
      </c>
    </row>
    <row r="43" spans="1:14" ht="23.25" thickTop="1">
      <c r="A43" s="87" t="s">
        <v>439</v>
      </c>
      <c r="B43" s="88" t="s">
        <v>458</v>
      </c>
      <c r="C43" s="89" t="s">
        <v>459</v>
      </c>
      <c r="D43" s="90" t="s">
        <v>440</v>
      </c>
      <c r="E43" s="88" t="s">
        <v>461</v>
      </c>
      <c r="F43" s="88" t="s">
        <v>462</v>
      </c>
      <c r="G43" s="88" t="s">
        <v>463</v>
      </c>
      <c r="H43" s="88" t="s">
        <v>441</v>
      </c>
      <c r="I43" s="88" t="s">
        <v>467</v>
      </c>
      <c r="J43" s="88" t="s">
        <v>466</v>
      </c>
      <c r="K43" s="88" t="s">
        <v>470</v>
      </c>
      <c r="L43" s="88" t="s">
        <v>411</v>
      </c>
      <c r="M43" s="91" t="s">
        <v>442</v>
      </c>
      <c r="N43" s="87" t="s">
        <v>439</v>
      </c>
    </row>
    <row r="44" spans="1:14" ht="15.75" customHeight="1">
      <c r="A44" s="152" t="s">
        <v>2205</v>
      </c>
      <c r="B44" s="199" t="s">
        <v>2206</v>
      </c>
      <c r="C44" s="199" t="s">
        <v>1284</v>
      </c>
      <c r="D44" s="228" t="s">
        <v>1282</v>
      </c>
      <c r="E44" s="199"/>
      <c r="F44" s="199"/>
      <c r="G44" s="229" t="s">
        <v>597</v>
      </c>
      <c r="H44" s="229" t="s">
        <v>597</v>
      </c>
      <c r="I44" s="199"/>
      <c r="J44" s="199"/>
      <c r="K44" s="199"/>
      <c r="L44" s="199"/>
      <c r="M44" s="199"/>
      <c r="N44" s="233" t="s">
        <v>1297</v>
      </c>
    </row>
    <row r="45" spans="1:14" ht="15.75" customHeight="1">
      <c r="A45" s="82" t="s">
        <v>505</v>
      </c>
      <c r="B45" s="199" t="s">
        <v>2207</v>
      </c>
      <c r="C45" s="199" t="s">
        <v>1284</v>
      </c>
      <c r="D45" s="228" t="s">
        <v>1281</v>
      </c>
      <c r="E45" s="199"/>
      <c r="F45" s="199"/>
      <c r="G45" s="199"/>
      <c r="H45" s="199"/>
      <c r="I45" s="229" t="s">
        <v>597</v>
      </c>
      <c r="J45" s="229" t="s">
        <v>597</v>
      </c>
      <c r="K45" s="199"/>
      <c r="L45" s="199"/>
      <c r="M45" s="199"/>
      <c r="N45" s="233" t="s">
        <v>1298</v>
      </c>
    </row>
    <row r="46" spans="1:14" ht="15.75" customHeight="1">
      <c r="A46" s="114" t="s">
        <v>506</v>
      </c>
      <c r="B46" s="300" t="s">
        <v>2209</v>
      </c>
      <c r="C46" s="245" t="s">
        <v>1284</v>
      </c>
      <c r="D46" s="230" t="s">
        <v>1280</v>
      </c>
      <c r="E46" s="199" t="s">
        <v>597</v>
      </c>
      <c r="F46" s="199"/>
      <c r="G46" s="199"/>
      <c r="H46" s="199" t="s">
        <v>597</v>
      </c>
      <c r="I46" s="199"/>
      <c r="J46" s="199"/>
      <c r="K46" s="229"/>
      <c r="L46" s="229"/>
      <c r="M46" s="199"/>
      <c r="N46" s="299" t="s">
        <v>1299</v>
      </c>
    </row>
    <row r="47" spans="1:14" ht="15.75" customHeight="1" thickBot="1">
      <c r="A47" s="168" t="s">
        <v>507</v>
      </c>
      <c r="B47" s="199" t="s">
        <v>2211</v>
      </c>
      <c r="C47" s="199" t="s">
        <v>1284</v>
      </c>
      <c r="D47" s="228" t="s">
        <v>1280</v>
      </c>
      <c r="E47" s="199"/>
      <c r="F47" s="199"/>
      <c r="G47" s="229"/>
      <c r="H47" s="229"/>
      <c r="I47" s="199"/>
      <c r="J47" s="199"/>
      <c r="K47" s="199" t="s">
        <v>597</v>
      </c>
      <c r="L47" s="199" t="s">
        <v>597</v>
      </c>
      <c r="M47" s="199"/>
      <c r="N47" s="233" t="s">
        <v>1300</v>
      </c>
    </row>
    <row r="48" spans="1:14" ht="15.75" customHeight="1" thickTop="1">
      <c r="A48" s="118">
        <v>242</v>
      </c>
      <c r="B48" s="121"/>
      <c r="C48" s="72"/>
      <c r="D48" s="115"/>
      <c r="E48" s="116"/>
      <c r="F48" s="122"/>
      <c r="G48" s="122"/>
      <c r="H48" s="122"/>
      <c r="I48" s="122"/>
      <c r="J48" s="116"/>
      <c r="K48" s="122"/>
      <c r="L48" s="116"/>
      <c r="M48" s="116"/>
      <c r="N48" s="118"/>
    </row>
    <row r="49" spans="1:14" ht="15.75" customHeight="1">
      <c r="A49" s="123" t="s">
        <v>2213</v>
      </c>
      <c r="B49" s="114"/>
      <c r="C49" s="65"/>
      <c r="D49" s="115"/>
      <c r="E49" s="116"/>
      <c r="F49" s="116"/>
      <c r="G49" s="114"/>
      <c r="H49" s="114"/>
      <c r="I49" s="116"/>
      <c r="J49" s="114"/>
      <c r="K49" s="114"/>
      <c r="L49" s="114"/>
      <c r="M49" s="116"/>
      <c r="N49" s="123"/>
    </row>
    <row r="50" spans="1:14" ht="15.75" customHeight="1">
      <c r="A50" s="117">
        <v>242</v>
      </c>
      <c r="B50" s="114"/>
      <c r="C50" s="65"/>
      <c r="D50" s="115"/>
      <c r="E50" s="114"/>
      <c r="F50" s="114"/>
      <c r="G50" s="116"/>
      <c r="H50" s="116"/>
      <c r="I50" s="114"/>
      <c r="J50" s="114"/>
      <c r="K50" s="116"/>
      <c r="L50" s="116"/>
      <c r="M50" s="120"/>
      <c r="N50" s="117"/>
    </row>
    <row r="51" spans="1:14" ht="15.75" customHeight="1" thickBot="1">
      <c r="A51" s="123" t="s">
        <v>2213</v>
      </c>
      <c r="B51" s="119"/>
      <c r="C51" s="70"/>
      <c r="D51" s="115"/>
      <c r="E51" s="119"/>
      <c r="F51" s="119"/>
      <c r="G51" s="116"/>
      <c r="H51" s="116"/>
      <c r="I51" s="119"/>
      <c r="J51" s="119"/>
      <c r="K51" s="116"/>
      <c r="L51" s="116"/>
      <c r="M51" s="124"/>
      <c r="N51" s="123"/>
    </row>
    <row r="52" spans="1:14" ht="15" thickTop="1">
      <c r="A52" s="323"/>
      <c r="B52" s="323"/>
      <c r="C52" s="323"/>
      <c r="D52" s="323"/>
      <c r="E52" s="323"/>
      <c r="F52" s="323"/>
      <c r="G52" s="323"/>
      <c r="H52" s="323"/>
      <c r="I52" s="323"/>
      <c r="J52" s="323"/>
      <c r="K52" s="323"/>
      <c r="L52" s="323"/>
      <c r="M52" s="323"/>
      <c r="N52" s="323"/>
    </row>
    <row r="53" spans="1:14">
      <c r="B53">
        <v>43</v>
      </c>
    </row>
    <row r="55" spans="1:14" ht="29.25" thickBot="1">
      <c r="A55" s="36" t="s">
        <v>435</v>
      </c>
      <c r="B55" s="110" t="s">
        <v>490</v>
      </c>
      <c r="C55" s="111"/>
      <c r="D55" s="36" t="s">
        <v>436</v>
      </c>
      <c r="E55" s="112" t="s">
        <v>444</v>
      </c>
      <c r="F55" s="111"/>
      <c r="G55" s="113" t="s">
        <v>455</v>
      </c>
      <c r="H55" s="61" t="s">
        <v>666</v>
      </c>
      <c r="I55" s="111"/>
      <c r="J55" s="113" t="s">
        <v>456</v>
      </c>
      <c r="K55" s="110" t="s">
        <v>1314</v>
      </c>
      <c r="L55" s="111"/>
      <c r="M55" s="111"/>
      <c r="N55" s="36" t="s">
        <v>435</v>
      </c>
    </row>
    <row r="56" spans="1:14" ht="23.25" thickTop="1">
      <c r="A56" s="87" t="s">
        <v>439</v>
      </c>
      <c r="B56" s="88" t="s">
        <v>458</v>
      </c>
      <c r="C56" s="89" t="s">
        <v>459</v>
      </c>
      <c r="D56" s="90" t="s">
        <v>440</v>
      </c>
      <c r="E56" s="88" t="s">
        <v>461</v>
      </c>
      <c r="F56" s="88" t="s">
        <v>462</v>
      </c>
      <c r="G56" s="88" t="s">
        <v>463</v>
      </c>
      <c r="H56" s="88" t="s">
        <v>441</v>
      </c>
      <c r="I56" s="88" t="s">
        <v>467</v>
      </c>
      <c r="J56" s="88" t="s">
        <v>466</v>
      </c>
      <c r="K56" s="88" t="s">
        <v>470</v>
      </c>
      <c r="L56" s="88" t="s">
        <v>410</v>
      </c>
      <c r="M56" s="91" t="s">
        <v>442</v>
      </c>
      <c r="N56" s="87" t="s">
        <v>439</v>
      </c>
    </row>
    <row r="57" spans="1:14">
      <c r="A57" s="114">
        <v>2431</v>
      </c>
      <c r="B57" s="199" t="s">
        <v>2217</v>
      </c>
      <c r="C57" s="199" t="s">
        <v>1279</v>
      </c>
      <c r="D57" s="228" t="s">
        <v>1280</v>
      </c>
      <c r="E57" s="199"/>
      <c r="F57" s="199"/>
      <c r="G57" s="229" t="s">
        <v>597</v>
      </c>
      <c r="H57" s="229" t="s">
        <v>597</v>
      </c>
      <c r="I57" s="199"/>
      <c r="J57" s="199"/>
      <c r="K57" s="199"/>
      <c r="L57" s="199"/>
      <c r="M57" s="199"/>
      <c r="N57" s="233" t="s">
        <v>1302</v>
      </c>
    </row>
    <row r="58" spans="1:14">
      <c r="A58" s="169" t="s">
        <v>2220</v>
      </c>
      <c r="B58" s="199" t="s">
        <v>2221</v>
      </c>
      <c r="C58" s="199" t="s">
        <v>1279</v>
      </c>
      <c r="D58" s="228" t="s">
        <v>1281</v>
      </c>
      <c r="E58" s="199"/>
      <c r="F58" s="199"/>
      <c r="G58" s="199"/>
      <c r="H58" s="199"/>
      <c r="I58" s="199" t="s">
        <v>597</v>
      </c>
      <c r="J58" s="199" t="s">
        <v>597</v>
      </c>
      <c r="K58" s="229"/>
      <c r="L58" s="229"/>
      <c r="M58" s="199"/>
      <c r="N58" s="233" t="s">
        <v>1303</v>
      </c>
    </row>
    <row r="59" spans="1:14">
      <c r="A59" s="170">
        <v>2433</v>
      </c>
      <c r="B59" s="199" t="s">
        <v>2222</v>
      </c>
      <c r="C59" s="199" t="s">
        <v>1279</v>
      </c>
      <c r="D59" s="228" t="s">
        <v>1281</v>
      </c>
      <c r="E59" s="229" t="s">
        <v>597</v>
      </c>
      <c r="F59" s="229" t="s">
        <v>597</v>
      </c>
      <c r="G59" s="199"/>
      <c r="H59" s="199"/>
      <c r="I59" s="199"/>
      <c r="J59" s="199"/>
      <c r="K59" s="199"/>
      <c r="L59" s="199"/>
      <c r="M59" s="229"/>
      <c r="N59" s="233" t="s">
        <v>1304</v>
      </c>
    </row>
    <row r="60" spans="1:14">
      <c r="A60" s="169" t="s">
        <v>2224</v>
      </c>
      <c r="B60" s="199" t="s">
        <v>2225</v>
      </c>
      <c r="C60" s="199" t="s">
        <v>1279</v>
      </c>
      <c r="D60" s="230" t="s">
        <v>1282</v>
      </c>
      <c r="E60" s="199"/>
      <c r="F60" s="199"/>
      <c r="G60" s="199" t="s">
        <v>597</v>
      </c>
      <c r="H60" s="199" t="s">
        <v>597</v>
      </c>
      <c r="I60" s="229"/>
      <c r="J60" s="229"/>
      <c r="K60" s="199"/>
      <c r="L60" s="199"/>
      <c r="M60" s="199"/>
      <c r="N60" s="233" t="s">
        <v>1305</v>
      </c>
    </row>
    <row r="61" spans="1:14">
      <c r="A61" s="152" t="s">
        <v>2227</v>
      </c>
      <c r="B61" s="232" t="s">
        <v>2228</v>
      </c>
      <c r="C61" s="199" t="s">
        <v>1279</v>
      </c>
      <c r="D61" s="228" t="s">
        <v>1281</v>
      </c>
      <c r="E61" s="229"/>
      <c r="F61" s="229"/>
      <c r="G61" s="199"/>
      <c r="H61" s="199"/>
      <c r="I61" s="199"/>
      <c r="J61" s="199"/>
      <c r="K61" s="229" t="s">
        <v>597</v>
      </c>
      <c r="L61" s="229" t="s">
        <v>597</v>
      </c>
      <c r="M61" s="229"/>
      <c r="N61" s="233" t="s">
        <v>1306</v>
      </c>
    </row>
    <row r="62" spans="1:14">
      <c r="A62" s="171" t="s">
        <v>2230</v>
      </c>
      <c r="B62" s="199" t="s">
        <v>2231</v>
      </c>
      <c r="C62" s="199" t="s">
        <v>1279</v>
      </c>
      <c r="D62" s="228" t="s">
        <v>1280</v>
      </c>
      <c r="E62" s="199"/>
      <c r="F62" s="199"/>
      <c r="G62" s="199"/>
      <c r="H62" s="199"/>
      <c r="I62" s="199"/>
      <c r="J62" s="199"/>
      <c r="K62" s="229" t="s">
        <v>597</v>
      </c>
      <c r="L62" s="229" t="s">
        <v>597</v>
      </c>
      <c r="M62" s="199"/>
      <c r="N62" s="233" t="s">
        <v>1307</v>
      </c>
    </row>
    <row r="63" spans="1:14">
      <c r="A63" s="114">
        <v>2437</v>
      </c>
      <c r="B63" s="199" t="s">
        <v>2232</v>
      </c>
      <c r="C63" s="199" t="s">
        <v>1284</v>
      </c>
      <c r="D63" s="231" t="s">
        <v>1282</v>
      </c>
      <c r="E63" s="199"/>
      <c r="F63" s="199"/>
      <c r="G63" s="229" t="s">
        <v>597</v>
      </c>
      <c r="H63" s="229" t="s">
        <v>597</v>
      </c>
      <c r="I63" s="199"/>
      <c r="J63" s="199"/>
      <c r="K63" s="199"/>
      <c r="L63" s="199"/>
      <c r="M63" s="199"/>
      <c r="N63" s="233" t="s">
        <v>1308</v>
      </c>
    </row>
    <row r="64" spans="1:14">
      <c r="A64" s="152" t="s">
        <v>2234</v>
      </c>
      <c r="B64" s="199" t="s">
        <v>2235</v>
      </c>
      <c r="C64" s="199" t="s">
        <v>1284</v>
      </c>
      <c r="D64" s="231" t="s">
        <v>1282</v>
      </c>
      <c r="E64" s="199" t="s">
        <v>597</v>
      </c>
      <c r="F64" s="199" t="s">
        <v>597</v>
      </c>
      <c r="G64" s="229"/>
      <c r="H64" s="199"/>
      <c r="I64" s="199"/>
      <c r="J64" s="199"/>
      <c r="K64" s="199"/>
      <c r="L64" s="199"/>
      <c r="M64" s="199"/>
      <c r="N64" s="233" t="s">
        <v>1309</v>
      </c>
    </row>
    <row r="65" spans="1:14">
      <c r="A65" s="323"/>
      <c r="B65" s="323"/>
      <c r="C65" s="323"/>
      <c r="D65" s="323"/>
      <c r="E65" s="323"/>
      <c r="F65" s="323"/>
      <c r="G65" s="323"/>
      <c r="H65" s="323"/>
      <c r="I65" s="323"/>
      <c r="J65" s="323"/>
      <c r="K65" s="323"/>
      <c r="L65" s="323"/>
      <c r="M65" s="323"/>
      <c r="N65" s="323"/>
    </row>
    <row r="66" spans="1:14">
      <c r="B66">
        <v>43</v>
      </c>
    </row>
    <row r="68" spans="1:14" ht="29.25" thickBot="1">
      <c r="A68" s="36" t="s">
        <v>435</v>
      </c>
      <c r="B68" s="110" t="s">
        <v>491</v>
      </c>
      <c r="C68" s="111"/>
      <c r="D68" s="36" t="s">
        <v>436</v>
      </c>
      <c r="E68" s="112" t="s">
        <v>444</v>
      </c>
      <c r="F68" s="111"/>
      <c r="G68" s="113" t="s">
        <v>455</v>
      </c>
      <c r="H68" s="61" t="s">
        <v>666</v>
      </c>
      <c r="I68" s="111"/>
      <c r="J68" s="113" t="s">
        <v>456</v>
      </c>
      <c r="K68" s="110" t="s">
        <v>1314</v>
      </c>
      <c r="L68" s="111"/>
      <c r="M68" s="111"/>
      <c r="N68" s="36" t="s">
        <v>435</v>
      </c>
    </row>
    <row r="69" spans="1:14" ht="23.25" thickTop="1">
      <c r="A69" s="87" t="s">
        <v>439</v>
      </c>
      <c r="B69" s="88" t="s">
        <v>458</v>
      </c>
      <c r="C69" s="89" t="s">
        <v>459</v>
      </c>
      <c r="D69" s="90" t="s">
        <v>440</v>
      </c>
      <c r="E69" s="88" t="s">
        <v>461</v>
      </c>
      <c r="F69" s="88" t="s">
        <v>462</v>
      </c>
      <c r="G69" s="88" t="s">
        <v>463</v>
      </c>
      <c r="H69" s="88" t="s">
        <v>441</v>
      </c>
      <c r="I69" s="88" t="s">
        <v>467</v>
      </c>
      <c r="J69" s="88" t="s">
        <v>466</v>
      </c>
      <c r="K69" s="88" t="s">
        <v>470</v>
      </c>
      <c r="L69" s="88" t="s">
        <v>410</v>
      </c>
      <c r="M69" s="91" t="s">
        <v>442</v>
      </c>
      <c r="N69" s="87" t="s">
        <v>439</v>
      </c>
    </row>
    <row r="70" spans="1:14">
      <c r="A70" s="171" t="s">
        <v>2238</v>
      </c>
      <c r="B70" s="199" t="s">
        <v>2239</v>
      </c>
      <c r="C70" s="199" t="s">
        <v>1284</v>
      </c>
      <c r="D70" s="228" t="s">
        <v>1282</v>
      </c>
      <c r="E70" s="199"/>
      <c r="F70" s="199"/>
      <c r="G70" s="199"/>
      <c r="H70" s="199"/>
      <c r="I70" s="229" t="s">
        <v>597</v>
      </c>
      <c r="J70" s="229" t="s">
        <v>597</v>
      </c>
      <c r="K70" s="199"/>
      <c r="L70" s="199"/>
      <c r="M70" s="199"/>
      <c r="N70" s="233" t="s">
        <v>1310</v>
      </c>
    </row>
    <row r="71" spans="1:14">
      <c r="A71" s="171" t="s">
        <v>2240</v>
      </c>
      <c r="B71" s="199" t="s">
        <v>2241</v>
      </c>
      <c r="C71" s="199" t="s">
        <v>1284</v>
      </c>
      <c r="D71" s="228" t="s">
        <v>1281</v>
      </c>
      <c r="E71" s="199"/>
      <c r="F71" s="199"/>
      <c r="G71" s="199"/>
      <c r="H71" s="199"/>
      <c r="I71" s="229" t="s">
        <v>597</v>
      </c>
      <c r="J71" s="229" t="s">
        <v>597</v>
      </c>
      <c r="K71" s="199"/>
      <c r="L71" s="199"/>
      <c r="M71" s="229"/>
      <c r="N71" s="233" t="s">
        <v>1311</v>
      </c>
    </row>
    <row r="72" spans="1:14">
      <c r="A72" s="152" t="s">
        <v>2242</v>
      </c>
      <c r="B72" s="199" t="s">
        <v>2243</v>
      </c>
      <c r="C72" s="199" t="s">
        <v>1284</v>
      </c>
      <c r="D72" s="230" t="s">
        <v>1280</v>
      </c>
      <c r="E72" s="229" t="s">
        <v>597</v>
      </c>
      <c r="F72" s="229" t="s">
        <v>597</v>
      </c>
      <c r="G72" s="199"/>
      <c r="H72" s="199"/>
      <c r="I72" s="199"/>
      <c r="J72" s="199"/>
      <c r="K72" s="199"/>
      <c r="L72" s="199"/>
      <c r="M72" s="229"/>
      <c r="N72" s="233" t="s">
        <v>1312</v>
      </c>
    </row>
    <row r="73" spans="1:14" ht="15" thickBot="1">
      <c r="A73" s="172" t="s">
        <v>2244</v>
      </c>
      <c r="B73" s="199" t="s">
        <v>2245</v>
      </c>
      <c r="C73" s="199" t="s">
        <v>1284</v>
      </c>
      <c r="D73" s="228" t="s">
        <v>1280</v>
      </c>
      <c r="E73" s="199"/>
      <c r="F73" s="199"/>
      <c r="G73" s="199"/>
      <c r="H73" s="199"/>
      <c r="I73" s="199"/>
      <c r="J73" s="199"/>
      <c r="K73" s="229" t="s">
        <v>597</v>
      </c>
      <c r="L73" s="229" t="s">
        <v>597</v>
      </c>
      <c r="M73" s="229"/>
      <c r="N73" s="233" t="s">
        <v>1313</v>
      </c>
    </row>
    <row r="74" spans="1:14" ht="15" thickTop="1">
      <c r="A74" s="171" t="s">
        <v>2246</v>
      </c>
      <c r="B74" s="121"/>
      <c r="C74" s="72"/>
      <c r="D74" s="115"/>
      <c r="E74" s="82"/>
      <c r="F74" s="122"/>
      <c r="G74" s="122"/>
      <c r="H74" s="122"/>
      <c r="I74" s="122"/>
      <c r="J74" s="82"/>
      <c r="K74" s="122"/>
      <c r="L74" s="122"/>
      <c r="M74" s="82"/>
      <c r="N74" s="171"/>
    </row>
    <row r="75" spans="1:14">
      <c r="A75" s="171" t="s">
        <v>2246</v>
      </c>
      <c r="B75" s="114"/>
      <c r="C75" s="65"/>
      <c r="D75" s="115"/>
      <c r="E75" s="114"/>
      <c r="F75" s="82"/>
      <c r="G75" s="114"/>
      <c r="H75" s="114"/>
      <c r="I75" s="82"/>
      <c r="J75" s="114"/>
      <c r="K75" s="114"/>
      <c r="L75" s="114"/>
      <c r="M75" s="82"/>
      <c r="N75" s="171"/>
    </row>
    <row r="76" spans="1:14">
      <c r="A76" s="152" t="s">
        <v>2246</v>
      </c>
      <c r="B76" s="114"/>
      <c r="C76" s="65"/>
      <c r="D76" s="115"/>
      <c r="E76" s="114"/>
      <c r="F76" s="114"/>
      <c r="G76" s="114"/>
      <c r="H76" s="114"/>
      <c r="I76" s="114"/>
      <c r="J76" s="114"/>
      <c r="K76" s="82"/>
      <c r="L76" s="82"/>
      <c r="M76" s="120"/>
      <c r="N76" s="152"/>
    </row>
    <row r="77" spans="1:14" ht="15" thickBot="1">
      <c r="A77" s="171" t="s">
        <v>2246</v>
      </c>
      <c r="B77" s="119"/>
      <c r="C77" s="70"/>
      <c r="D77" s="115"/>
      <c r="E77" s="119"/>
      <c r="F77" s="119"/>
      <c r="G77" s="82"/>
      <c r="H77" s="82"/>
      <c r="I77" s="119"/>
      <c r="J77" s="119"/>
      <c r="K77" s="119"/>
      <c r="L77" s="119"/>
      <c r="M77" s="124"/>
      <c r="N77" s="171"/>
    </row>
    <row r="78" spans="1:14" ht="15" thickTop="1">
      <c r="A78" s="23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>
        <v>2289</v>
      </c>
    </row>
    <row r="79" spans="1:14">
      <c r="A79">
        <v>22810</v>
      </c>
      <c r="B79">
        <v>51</v>
      </c>
      <c r="N79">
        <v>22810</v>
      </c>
    </row>
    <row r="80" spans="1:14">
      <c r="A80">
        <v>22811</v>
      </c>
      <c r="N80">
        <v>22811</v>
      </c>
    </row>
    <row r="81" spans="1:14" ht="29.25" thickBot="1">
      <c r="A81" s="36" t="s">
        <v>435</v>
      </c>
      <c r="B81" s="61" t="s">
        <v>492</v>
      </c>
      <c r="C81" s="40"/>
      <c r="D81" s="36" t="s">
        <v>436</v>
      </c>
      <c r="E81" s="39" t="s">
        <v>444</v>
      </c>
      <c r="F81" s="40"/>
      <c r="G81" s="41" t="s">
        <v>455</v>
      </c>
      <c r="H81" s="61" t="s">
        <v>664</v>
      </c>
      <c r="I81" s="40"/>
      <c r="J81" s="41" t="s">
        <v>456</v>
      </c>
      <c r="K81" s="61" t="s">
        <v>1329</v>
      </c>
      <c r="L81" s="40"/>
      <c r="M81" s="40"/>
      <c r="N81" s="36" t="s">
        <v>435</v>
      </c>
    </row>
    <row r="82" spans="1:14" ht="23.25" thickTop="1">
      <c r="A82" s="87" t="s">
        <v>439</v>
      </c>
      <c r="B82" s="88" t="s">
        <v>458</v>
      </c>
      <c r="C82" s="89" t="s">
        <v>459</v>
      </c>
      <c r="D82" s="90" t="s">
        <v>440</v>
      </c>
      <c r="E82" s="88" t="s">
        <v>461</v>
      </c>
      <c r="F82" s="88" t="s">
        <v>462</v>
      </c>
      <c r="G82" s="88" t="s">
        <v>463</v>
      </c>
      <c r="H82" s="88" t="s">
        <v>441</v>
      </c>
      <c r="I82" s="88" t="s">
        <v>467</v>
      </c>
      <c r="J82" s="88" t="s">
        <v>466</v>
      </c>
      <c r="K82" s="88" t="s">
        <v>470</v>
      </c>
      <c r="L82" s="88" t="s">
        <v>410</v>
      </c>
      <c r="M82" s="91" t="s">
        <v>442</v>
      </c>
      <c r="N82" s="87" t="s">
        <v>439</v>
      </c>
    </row>
    <row r="83" spans="1:14">
      <c r="A83" s="48">
        <v>2511</v>
      </c>
      <c r="B83" s="179" t="s">
        <v>2250</v>
      </c>
      <c r="C83" s="180" t="s">
        <v>595</v>
      </c>
      <c r="D83" s="179" t="s">
        <v>651</v>
      </c>
      <c r="E83" s="179" t="s">
        <v>1322</v>
      </c>
      <c r="F83" s="179" t="s">
        <v>1322</v>
      </c>
      <c r="G83" s="179"/>
      <c r="H83" s="179"/>
      <c r="I83" s="179"/>
      <c r="J83" s="179"/>
      <c r="K83" s="179"/>
      <c r="L83" s="183"/>
      <c r="M83" s="92"/>
      <c r="N83" s="214" t="s">
        <v>1315</v>
      </c>
    </row>
    <row r="84" spans="1:14">
      <c r="A84" s="48">
        <v>2512</v>
      </c>
      <c r="B84" s="179" t="s">
        <v>2253</v>
      </c>
      <c r="C84" s="180" t="s">
        <v>595</v>
      </c>
      <c r="D84" s="182" t="s">
        <v>1323</v>
      </c>
      <c r="E84" s="179" t="s">
        <v>1322</v>
      </c>
      <c r="F84" s="179" t="s">
        <v>1322</v>
      </c>
      <c r="G84" s="179"/>
      <c r="H84" s="179"/>
      <c r="I84" s="179"/>
      <c r="J84" s="179"/>
      <c r="K84" s="179"/>
      <c r="L84" s="183"/>
      <c r="M84" s="92"/>
      <c r="N84" s="214" t="s">
        <v>1316</v>
      </c>
    </row>
    <row r="85" spans="1:14">
      <c r="A85" s="48">
        <v>2513</v>
      </c>
      <c r="B85" s="179" t="s">
        <v>2254</v>
      </c>
      <c r="C85" s="180" t="s">
        <v>595</v>
      </c>
      <c r="D85" s="182" t="s">
        <v>652</v>
      </c>
      <c r="E85" s="179"/>
      <c r="F85" s="179"/>
      <c r="G85" s="179" t="s">
        <v>1322</v>
      </c>
      <c r="H85" s="179" t="s">
        <v>1322</v>
      </c>
      <c r="I85" s="179"/>
      <c r="J85" s="179"/>
      <c r="K85" s="179"/>
      <c r="L85" s="183"/>
      <c r="M85" s="64"/>
      <c r="N85" s="214" t="s">
        <v>1317</v>
      </c>
    </row>
    <row r="86" spans="1:14" ht="15" thickBot="1">
      <c r="A86" s="52">
        <v>2514</v>
      </c>
      <c r="B86" s="179" t="s">
        <v>2257</v>
      </c>
      <c r="C86" s="180" t="s">
        <v>595</v>
      </c>
      <c r="D86" s="182" t="s">
        <v>653</v>
      </c>
      <c r="E86" s="179"/>
      <c r="F86" s="179"/>
      <c r="G86" s="179" t="s">
        <v>1322</v>
      </c>
      <c r="H86" s="179" t="s">
        <v>1322</v>
      </c>
      <c r="I86" s="179"/>
      <c r="J86" s="179"/>
      <c r="K86" s="179"/>
      <c r="L86" s="183"/>
      <c r="M86" s="64"/>
      <c r="N86" s="301" t="s">
        <v>1318</v>
      </c>
    </row>
    <row r="87" spans="1:14" ht="15" thickTop="1">
      <c r="A87" s="54">
        <v>2515</v>
      </c>
      <c r="B87" s="179" t="s">
        <v>2258</v>
      </c>
      <c r="C87" s="180" t="s">
        <v>595</v>
      </c>
      <c r="D87" s="182" t="s">
        <v>656</v>
      </c>
      <c r="E87" s="179"/>
      <c r="F87" s="179"/>
      <c r="G87" s="179"/>
      <c r="H87" s="179"/>
      <c r="I87" s="179" t="s">
        <v>1322</v>
      </c>
      <c r="J87" s="179" t="s">
        <v>1322</v>
      </c>
      <c r="K87" s="179"/>
      <c r="L87" s="183"/>
      <c r="M87" s="64"/>
      <c r="N87" s="301" t="s">
        <v>1319</v>
      </c>
    </row>
    <row r="88" spans="1:14" ht="15" thickBot="1">
      <c r="A88" s="48">
        <v>2516</v>
      </c>
      <c r="B88" s="188" t="s">
        <v>2261</v>
      </c>
      <c r="C88" s="189" t="s">
        <v>595</v>
      </c>
      <c r="D88" s="224" t="s">
        <v>660</v>
      </c>
      <c r="E88" s="196"/>
      <c r="F88" s="196"/>
      <c r="G88" s="196"/>
      <c r="H88" s="196"/>
      <c r="I88" s="196"/>
      <c r="J88" s="196"/>
      <c r="K88" s="179" t="s">
        <v>1322</v>
      </c>
      <c r="L88" s="179" t="s">
        <v>1322</v>
      </c>
      <c r="M88" s="92"/>
      <c r="N88" s="301" t="s">
        <v>1320</v>
      </c>
    </row>
    <row r="89" spans="1:14" ht="15" thickTop="1">
      <c r="A89" s="48">
        <v>2517</v>
      </c>
      <c r="B89" s="185" t="s">
        <v>2264</v>
      </c>
      <c r="C89" s="186" t="s">
        <v>596</v>
      </c>
      <c r="D89" s="182" t="s">
        <v>1324</v>
      </c>
      <c r="E89" s="179" t="s">
        <v>1322</v>
      </c>
      <c r="F89" s="179" t="s">
        <v>1322</v>
      </c>
      <c r="G89" s="179"/>
      <c r="H89" s="179"/>
      <c r="I89" s="179"/>
      <c r="J89" s="179"/>
      <c r="K89" s="179"/>
      <c r="L89" s="183"/>
      <c r="M89" s="64"/>
      <c r="N89" s="301" t="s">
        <v>661</v>
      </c>
    </row>
    <row r="90" spans="1:14" ht="15" thickBot="1">
      <c r="A90" s="52">
        <v>2518</v>
      </c>
      <c r="B90" s="185" t="s">
        <v>2265</v>
      </c>
      <c r="C90" s="186" t="s">
        <v>596</v>
      </c>
      <c r="D90" s="182" t="s">
        <v>663</v>
      </c>
      <c r="E90" s="179"/>
      <c r="F90" s="179"/>
      <c r="G90" s="179" t="s">
        <v>1322</v>
      </c>
      <c r="H90" s="179" t="s">
        <v>1322</v>
      </c>
      <c r="I90" s="179"/>
      <c r="J90" s="179"/>
      <c r="K90" s="179"/>
      <c r="L90" s="183"/>
      <c r="M90" s="64"/>
      <c r="N90" s="301" t="s">
        <v>1321</v>
      </c>
    </row>
    <row r="91" spans="1:14" ht="15" thickTop="1">
      <c r="N91">
        <v>2299</v>
      </c>
    </row>
    <row r="92" spans="1:14">
      <c r="B92">
        <v>51</v>
      </c>
      <c r="N92">
        <v>22910</v>
      </c>
    </row>
    <row r="94" spans="1:14" ht="23.25" thickBot="1">
      <c r="A94" s="36" t="s">
        <v>435</v>
      </c>
      <c r="B94" s="61" t="s">
        <v>493</v>
      </c>
      <c r="C94" s="41"/>
      <c r="D94" s="36" t="s">
        <v>436</v>
      </c>
      <c r="E94" s="61" t="s">
        <v>444</v>
      </c>
      <c r="F94" s="41"/>
      <c r="G94" s="41" t="s">
        <v>455</v>
      </c>
      <c r="H94" s="61" t="s">
        <v>664</v>
      </c>
      <c r="I94" s="41"/>
      <c r="J94" s="41" t="s">
        <v>456</v>
      </c>
      <c r="K94" s="61" t="s">
        <v>1330</v>
      </c>
      <c r="L94" s="41"/>
      <c r="M94" s="41"/>
      <c r="N94" s="36" t="s">
        <v>435</v>
      </c>
    </row>
    <row r="95" spans="1:14" ht="23.25" thickTop="1">
      <c r="A95" s="87" t="s">
        <v>439</v>
      </c>
      <c r="B95" s="88" t="s">
        <v>458</v>
      </c>
      <c r="C95" s="89" t="s">
        <v>459</v>
      </c>
      <c r="D95" s="90" t="s">
        <v>440</v>
      </c>
      <c r="E95" s="88" t="s">
        <v>461</v>
      </c>
      <c r="F95" s="88" t="s">
        <v>462</v>
      </c>
      <c r="G95" s="88" t="s">
        <v>463</v>
      </c>
      <c r="H95" s="88" t="s">
        <v>441</v>
      </c>
      <c r="I95" s="88" t="s">
        <v>467</v>
      </c>
      <c r="J95" s="88" t="s">
        <v>466</v>
      </c>
      <c r="K95" s="88" t="s">
        <v>470</v>
      </c>
      <c r="L95" s="88" t="s">
        <v>410</v>
      </c>
      <c r="M95" s="91" t="s">
        <v>442</v>
      </c>
      <c r="N95" s="87" t="s">
        <v>439</v>
      </c>
    </row>
    <row r="96" spans="1:14" ht="18.75">
      <c r="A96" s="151" t="s">
        <v>2268</v>
      </c>
      <c r="B96" s="185" t="s">
        <v>2269</v>
      </c>
      <c r="C96" s="186" t="s">
        <v>596</v>
      </c>
      <c r="D96" s="182" t="s">
        <v>658</v>
      </c>
      <c r="E96" s="179"/>
      <c r="F96" s="179"/>
      <c r="G96" s="179"/>
      <c r="H96" s="179"/>
      <c r="I96" s="179" t="s">
        <v>1322</v>
      </c>
      <c r="J96" s="179" t="s">
        <v>1322</v>
      </c>
      <c r="K96" s="179"/>
      <c r="L96" s="183"/>
      <c r="M96" s="226"/>
      <c r="N96" s="216" t="s">
        <v>1325</v>
      </c>
    </row>
    <row r="97" spans="1:14" ht="18.75">
      <c r="A97" s="151" t="s">
        <v>2270</v>
      </c>
      <c r="B97" s="179" t="s">
        <v>2271</v>
      </c>
      <c r="C97" s="180" t="s">
        <v>596</v>
      </c>
      <c r="D97" s="182" t="s">
        <v>662</v>
      </c>
      <c r="E97" s="179"/>
      <c r="F97" s="179"/>
      <c r="G97" s="179"/>
      <c r="H97" s="179"/>
      <c r="I97" s="179" t="s">
        <v>1322</v>
      </c>
      <c r="J97" s="179" t="s">
        <v>1322</v>
      </c>
      <c r="K97" s="179"/>
      <c r="L97" s="183"/>
      <c r="M97" s="226"/>
      <c r="N97" s="214" t="s">
        <v>1326</v>
      </c>
    </row>
    <row r="98" spans="1:14" ht="18.75">
      <c r="A98" s="151" t="s">
        <v>2272</v>
      </c>
      <c r="B98" s="179" t="s">
        <v>2273</v>
      </c>
      <c r="C98" s="180" t="s">
        <v>596</v>
      </c>
      <c r="D98" s="182" t="s">
        <v>655</v>
      </c>
      <c r="E98" s="179"/>
      <c r="F98" s="179"/>
      <c r="G98" s="179"/>
      <c r="H98" s="179"/>
      <c r="I98" s="179"/>
      <c r="J98" s="179"/>
      <c r="K98" s="179" t="s">
        <v>1322</v>
      </c>
      <c r="L98" s="179" t="s">
        <v>1322</v>
      </c>
      <c r="M98" s="226"/>
      <c r="N98" s="214" t="s">
        <v>1327</v>
      </c>
    </row>
    <row r="99" spans="1:14" ht="19.5" thickBot="1">
      <c r="A99" s="149" t="s">
        <v>2274</v>
      </c>
      <c r="B99" s="188" t="s">
        <v>2275</v>
      </c>
      <c r="C99" s="189" t="s">
        <v>596</v>
      </c>
      <c r="D99" s="206" t="s">
        <v>659</v>
      </c>
      <c r="E99" s="188"/>
      <c r="F99" s="188"/>
      <c r="G99" s="188"/>
      <c r="H99" s="188"/>
      <c r="I99" s="188"/>
      <c r="J99" s="188"/>
      <c r="K99" s="179" t="s">
        <v>1322</v>
      </c>
      <c r="L99" s="179" t="s">
        <v>1322</v>
      </c>
      <c r="M99" s="226"/>
      <c r="N99" s="215" t="s">
        <v>1328</v>
      </c>
    </row>
    <row r="100" spans="1:14" ht="15" thickTop="1">
      <c r="A100" s="150" t="s">
        <v>2276</v>
      </c>
      <c r="B100" s="136"/>
      <c r="C100" s="72"/>
      <c r="D100" s="131"/>
      <c r="E100" s="93"/>
      <c r="F100" s="93"/>
      <c r="G100" s="93"/>
      <c r="H100" s="93"/>
      <c r="I100" s="64"/>
      <c r="J100" s="173"/>
      <c r="K100" s="93"/>
      <c r="L100" s="173"/>
      <c r="M100" s="173"/>
      <c r="N100" s="150"/>
    </row>
    <row r="101" spans="1:14">
      <c r="A101" s="151" t="s">
        <v>2276</v>
      </c>
      <c r="B101" s="82"/>
      <c r="C101" s="65"/>
      <c r="D101" s="131"/>
      <c r="E101" s="64"/>
      <c r="F101" s="173"/>
      <c r="G101" s="64"/>
      <c r="H101" s="64"/>
      <c r="I101" s="64"/>
      <c r="J101" s="64"/>
      <c r="K101" s="173"/>
      <c r="L101" s="64"/>
      <c r="M101" s="92"/>
      <c r="N101" s="151"/>
    </row>
    <row r="102" spans="1:14">
      <c r="A102" s="151" t="s">
        <v>2276</v>
      </c>
      <c r="B102" s="82"/>
      <c r="C102" s="65"/>
      <c r="D102" s="131"/>
      <c r="E102" s="64"/>
      <c r="F102" s="64"/>
      <c r="G102" s="173"/>
      <c r="H102" s="173"/>
      <c r="I102" s="64"/>
      <c r="J102" s="64"/>
      <c r="K102" s="64"/>
      <c r="L102" s="64"/>
      <c r="M102" s="92"/>
      <c r="N102" s="151"/>
    </row>
    <row r="103" spans="1:14" ht="15" thickBot="1">
      <c r="A103" s="149" t="s">
        <v>2276</v>
      </c>
      <c r="B103" s="134"/>
      <c r="C103" s="70"/>
      <c r="D103" s="131"/>
      <c r="E103" s="173"/>
      <c r="F103" s="64"/>
      <c r="G103" s="74"/>
      <c r="H103" s="74"/>
      <c r="I103" s="173"/>
      <c r="J103" s="74"/>
      <c r="K103" s="74"/>
      <c r="L103" s="74"/>
      <c r="M103" s="173"/>
      <c r="N103" s="149"/>
    </row>
    <row r="104" spans="1:14" ht="15" thickTop="1">
      <c r="N104">
        <v>2309</v>
      </c>
    </row>
    <row r="105" spans="1:14">
      <c r="B105">
        <v>52</v>
      </c>
      <c r="N105">
        <v>23010</v>
      </c>
    </row>
    <row r="106" spans="1:14">
      <c r="N106">
        <v>23011</v>
      </c>
    </row>
    <row r="107" spans="1:14" ht="23.25" thickBot="1">
      <c r="A107" s="36" t="s">
        <v>435</v>
      </c>
      <c r="B107" s="61" t="s">
        <v>494</v>
      </c>
      <c r="C107" s="41"/>
      <c r="D107" s="36" t="s">
        <v>436</v>
      </c>
      <c r="E107" s="61" t="s">
        <v>444</v>
      </c>
      <c r="F107" s="41"/>
      <c r="G107" s="41" t="s">
        <v>455</v>
      </c>
      <c r="H107" s="61" t="s">
        <v>664</v>
      </c>
      <c r="I107" s="41"/>
      <c r="J107" s="41" t="s">
        <v>456</v>
      </c>
      <c r="K107" s="61" t="s">
        <v>1343</v>
      </c>
      <c r="L107" s="41"/>
      <c r="M107" s="41"/>
      <c r="N107" s="36" t="s">
        <v>435</v>
      </c>
    </row>
    <row r="108" spans="1:14" ht="23.25" thickTop="1">
      <c r="A108" s="42">
        <v>21</v>
      </c>
      <c r="B108" s="43" t="s">
        <v>499</v>
      </c>
      <c r="C108" s="44" t="s">
        <v>459</v>
      </c>
      <c r="D108" s="45" t="s">
        <v>440</v>
      </c>
      <c r="E108" s="46" t="s">
        <v>461</v>
      </c>
      <c r="F108" s="46" t="s">
        <v>462</v>
      </c>
      <c r="G108" s="46" t="s">
        <v>463</v>
      </c>
      <c r="H108" s="46" t="s">
        <v>441</v>
      </c>
      <c r="I108" s="46" t="s">
        <v>467</v>
      </c>
      <c r="J108" s="46" t="s">
        <v>466</v>
      </c>
      <c r="K108" s="46" t="s">
        <v>470</v>
      </c>
      <c r="L108" s="46" t="s">
        <v>410</v>
      </c>
      <c r="M108" s="47" t="s">
        <v>442</v>
      </c>
      <c r="N108" s="42" t="s">
        <v>439</v>
      </c>
    </row>
    <row r="109" spans="1:14" ht="18.75">
      <c r="A109" s="97" t="s">
        <v>2280</v>
      </c>
      <c r="B109" s="179" t="s">
        <v>2281</v>
      </c>
      <c r="C109" s="180" t="s">
        <v>595</v>
      </c>
      <c r="D109" s="182" t="s">
        <v>654</v>
      </c>
      <c r="E109" s="179" t="s">
        <v>1322</v>
      </c>
      <c r="F109" s="179" t="s">
        <v>1322</v>
      </c>
      <c r="G109" s="179"/>
      <c r="H109" s="179"/>
      <c r="I109" s="179"/>
      <c r="J109" s="179"/>
      <c r="K109" s="179"/>
      <c r="L109" s="183"/>
      <c r="M109" s="225"/>
      <c r="N109" s="214" t="s">
        <v>1331</v>
      </c>
    </row>
    <row r="110" spans="1:14" ht="18.75">
      <c r="A110" s="97" t="s">
        <v>2282</v>
      </c>
      <c r="B110" s="179" t="s">
        <v>2283</v>
      </c>
      <c r="C110" s="180" t="s">
        <v>595</v>
      </c>
      <c r="D110" s="182" t="s">
        <v>1323</v>
      </c>
      <c r="E110" s="179"/>
      <c r="F110" s="179"/>
      <c r="G110" s="179" t="s">
        <v>1322</v>
      </c>
      <c r="H110" s="179" t="s">
        <v>1322</v>
      </c>
      <c r="I110" s="179"/>
      <c r="J110" s="179"/>
      <c r="K110" s="304"/>
      <c r="L110" s="304"/>
      <c r="M110" s="225"/>
      <c r="N110" s="302" t="s">
        <v>1332</v>
      </c>
    </row>
    <row r="111" spans="1:14" ht="18.75">
      <c r="A111" s="97" t="s">
        <v>2284</v>
      </c>
      <c r="B111" s="179" t="s">
        <v>2285</v>
      </c>
      <c r="C111" s="180" t="s">
        <v>595</v>
      </c>
      <c r="D111" s="182" t="s">
        <v>659</v>
      </c>
      <c r="E111" s="179"/>
      <c r="F111" s="179"/>
      <c r="G111" s="179"/>
      <c r="H111" s="179"/>
      <c r="I111" s="179" t="s">
        <v>1322</v>
      </c>
      <c r="J111" s="179" t="s">
        <v>1322</v>
      </c>
      <c r="K111" s="179"/>
      <c r="L111" s="183"/>
      <c r="M111" s="225"/>
      <c r="N111" s="214" t="s">
        <v>1333</v>
      </c>
    </row>
    <row r="112" spans="1:14" ht="19.5" thickBot="1">
      <c r="A112" s="99" t="s">
        <v>2286</v>
      </c>
      <c r="B112" s="179" t="s">
        <v>2287</v>
      </c>
      <c r="C112" s="180" t="s">
        <v>595</v>
      </c>
      <c r="D112" s="182" t="s">
        <v>656</v>
      </c>
      <c r="E112" s="179"/>
      <c r="F112" s="179"/>
      <c r="G112" s="179"/>
      <c r="H112" s="179"/>
      <c r="I112" s="179" t="s">
        <v>1322</v>
      </c>
      <c r="J112" s="179" t="s">
        <v>1322</v>
      </c>
      <c r="K112" s="179"/>
      <c r="L112" s="183"/>
      <c r="M112" s="227"/>
      <c r="N112" s="214" t="s">
        <v>1334</v>
      </c>
    </row>
    <row r="113" spans="1:14" ht="19.5" thickTop="1">
      <c r="A113" s="100" t="s">
        <v>2288</v>
      </c>
      <c r="B113" s="304" t="s">
        <v>2289</v>
      </c>
      <c r="C113" s="305" t="s">
        <v>595</v>
      </c>
      <c r="D113" s="306" t="s">
        <v>652</v>
      </c>
      <c r="E113" s="304"/>
      <c r="F113" s="304"/>
      <c r="G113" s="304"/>
      <c r="H113" s="304"/>
      <c r="I113" s="304"/>
      <c r="J113" s="304"/>
      <c r="K113" s="304" t="s">
        <v>1322</v>
      </c>
      <c r="L113" s="304" t="s">
        <v>1322</v>
      </c>
      <c r="M113" s="225"/>
      <c r="N113" s="214" t="s">
        <v>1335</v>
      </c>
    </row>
    <row r="114" spans="1:14" ht="19.5" thickBot="1">
      <c r="A114" s="97" t="s">
        <v>2290</v>
      </c>
      <c r="B114" s="188" t="s">
        <v>2291</v>
      </c>
      <c r="C114" s="189" t="s">
        <v>595</v>
      </c>
      <c r="D114" s="224" t="s">
        <v>654</v>
      </c>
      <c r="E114" s="196"/>
      <c r="F114" s="196"/>
      <c r="G114" s="196"/>
      <c r="H114" s="196"/>
      <c r="I114" s="196"/>
      <c r="J114" s="196"/>
      <c r="K114" s="179" t="s">
        <v>1322</v>
      </c>
      <c r="L114" s="179" t="s">
        <v>1322</v>
      </c>
      <c r="M114" s="225"/>
      <c r="N114" s="215" t="s">
        <v>1336</v>
      </c>
    </row>
    <row r="115" spans="1:14" ht="19.5" thickTop="1">
      <c r="A115" s="97" t="s">
        <v>2292</v>
      </c>
      <c r="B115" s="179" t="s">
        <v>2293</v>
      </c>
      <c r="C115" s="180" t="s">
        <v>596</v>
      </c>
      <c r="D115" s="182" t="s">
        <v>655</v>
      </c>
      <c r="E115" s="179" t="s">
        <v>1322</v>
      </c>
      <c r="F115" s="179" t="s">
        <v>1322</v>
      </c>
      <c r="G115" s="179"/>
      <c r="H115" s="179"/>
      <c r="I115" s="179"/>
      <c r="J115" s="179"/>
      <c r="K115" s="179"/>
      <c r="L115" s="183"/>
      <c r="M115" s="227"/>
      <c r="N115" s="216" t="s">
        <v>1337</v>
      </c>
    </row>
    <row r="116" spans="1:14" ht="19.5" thickBot="1">
      <c r="A116" s="99" t="s">
        <v>2294</v>
      </c>
      <c r="B116" s="304" t="s">
        <v>2295</v>
      </c>
      <c r="C116" s="305" t="s">
        <v>596</v>
      </c>
      <c r="D116" s="307" t="s">
        <v>663</v>
      </c>
      <c r="E116" s="304" t="s">
        <v>1322</v>
      </c>
      <c r="F116" s="304" t="s">
        <v>1322</v>
      </c>
      <c r="G116" s="304"/>
      <c r="H116" s="304"/>
      <c r="I116" s="304"/>
      <c r="J116" s="304"/>
      <c r="K116" s="304"/>
      <c r="L116" s="308"/>
      <c r="M116" s="225"/>
      <c r="N116" s="303" t="s">
        <v>1338</v>
      </c>
    </row>
    <row r="117" spans="1:14" ht="15" thickTop="1"/>
    <row r="118" spans="1:14">
      <c r="B118">
        <v>52</v>
      </c>
    </row>
    <row r="120" spans="1:14" ht="23.25" thickBot="1">
      <c r="A120" s="36" t="s">
        <v>435</v>
      </c>
      <c r="B120" s="61" t="s">
        <v>494</v>
      </c>
      <c r="C120" s="41"/>
      <c r="D120" s="36" t="s">
        <v>436</v>
      </c>
      <c r="E120" s="61" t="s">
        <v>444</v>
      </c>
      <c r="F120" s="41"/>
      <c r="G120" s="41" t="s">
        <v>455</v>
      </c>
      <c r="H120" s="61" t="s">
        <v>664</v>
      </c>
      <c r="I120" s="41"/>
      <c r="J120" s="41" t="s">
        <v>456</v>
      </c>
      <c r="K120" s="61" t="s">
        <v>1343</v>
      </c>
      <c r="L120" s="41"/>
      <c r="M120" s="41"/>
      <c r="N120" s="36" t="s">
        <v>435</v>
      </c>
    </row>
    <row r="121" spans="1:14" ht="23.25" thickTop="1">
      <c r="A121" s="42">
        <v>21</v>
      </c>
      <c r="B121" s="43" t="s">
        <v>499</v>
      </c>
      <c r="C121" s="44" t="s">
        <v>459</v>
      </c>
      <c r="D121" s="45" t="s">
        <v>440</v>
      </c>
      <c r="E121" s="46" t="s">
        <v>461</v>
      </c>
      <c r="F121" s="46" t="s">
        <v>462</v>
      </c>
      <c r="G121" s="46" t="s">
        <v>463</v>
      </c>
      <c r="H121" s="46" t="s">
        <v>441</v>
      </c>
      <c r="I121" s="46" t="s">
        <v>467</v>
      </c>
      <c r="J121" s="46" t="s">
        <v>466</v>
      </c>
      <c r="K121" s="46" t="s">
        <v>470</v>
      </c>
      <c r="L121" s="46" t="s">
        <v>410</v>
      </c>
      <c r="M121" s="47" t="s">
        <v>442</v>
      </c>
      <c r="N121" s="42" t="s">
        <v>439</v>
      </c>
    </row>
    <row r="122" spans="1:14" ht="18.75">
      <c r="A122" s="97" t="s">
        <v>2298</v>
      </c>
      <c r="B122" s="310" t="s">
        <v>2299</v>
      </c>
      <c r="C122" s="311" t="s">
        <v>596</v>
      </c>
      <c r="D122" s="306" t="s">
        <v>1324</v>
      </c>
      <c r="E122" s="304"/>
      <c r="F122" s="304"/>
      <c r="G122" s="304" t="s">
        <v>1322</v>
      </c>
      <c r="H122" s="304" t="s">
        <v>1322</v>
      </c>
      <c r="I122" s="304"/>
      <c r="J122" s="304"/>
      <c r="K122" s="304"/>
      <c r="L122" s="308"/>
      <c r="M122" s="225"/>
      <c r="N122" s="309" t="s">
        <v>1339</v>
      </c>
    </row>
    <row r="123" spans="1:14" ht="18.75">
      <c r="A123" s="97" t="s">
        <v>2300</v>
      </c>
      <c r="B123" s="179" t="s">
        <v>2301</v>
      </c>
      <c r="C123" s="180" t="s">
        <v>596</v>
      </c>
      <c r="D123" s="182" t="s">
        <v>653</v>
      </c>
      <c r="E123" s="179"/>
      <c r="F123" s="179"/>
      <c r="G123" s="179" t="s">
        <v>1322</v>
      </c>
      <c r="H123" s="179" t="s">
        <v>1322</v>
      </c>
      <c r="I123" s="179"/>
      <c r="J123" s="179"/>
      <c r="K123" s="179"/>
      <c r="L123" s="183"/>
      <c r="M123" s="225"/>
      <c r="N123" s="214" t="s">
        <v>1340</v>
      </c>
    </row>
    <row r="124" spans="1:14" ht="18.75">
      <c r="A124" s="97" t="s">
        <v>2302</v>
      </c>
      <c r="B124" s="185" t="s">
        <v>2303</v>
      </c>
      <c r="C124" s="186" t="s">
        <v>596</v>
      </c>
      <c r="D124" s="182" t="s">
        <v>660</v>
      </c>
      <c r="E124" s="179"/>
      <c r="F124" s="179"/>
      <c r="G124" s="179"/>
      <c r="H124" s="179"/>
      <c r="I124" s="179" t="s">
        <v>1322</v>
      </c>
      <c r="J124" s="179" t="s">
        <v>1322</v>
      </c>
      <c r="K124" s="179"/>
      <c r="L124" s="183"/>
      <c r="M124" s="225"/>
      <c r="N124" s="214" t="s">
        <v>1341</v>
      </c>
    </row>
    <row r="125" spans="1:14" ht="19.5" thickBot="1">
      <c r="A125" s="99" t="s">
        <v>2304</v>
      </c>
      <c r="B125" s="188" t="s">
        <v>2305</v>
      </c>
      <c r="C125" s="189" t="s">
        <v>596</v>
      </c>
      <c r="D125" s="206" t="s">
        <v>658</v>
      </c>
      <c r="E125" s="188"/>
      <c r="F125" s="188"/>
      <c r="G125" s="188"/>
      <c r="H125" s="188"/>
      <c r="I125" s="188"/>
      <c r="J125" s="188"/>
      <c r="K125" s="179" t="s">
        <v>1322</v>
      </c>
      <c r="L125" s="179" t="s">
        <v>1322</v>
      </c>
      <c r="M125" s="225"/>
      <c r="N125" s="215" t="s">
        <v>1342</v>
      </c>
    </row>
    <row r="126" spans="1:14" ht="15" thickTop="1">
      <c r="A126" s="100" t="s">
        <v>2306</v>
      </c>
      <c r="B126" s="96"/>
      <c r="C126" s="72"/>
      <c r="D126" s="101"/>
      <c r="E126" s="102"/>
      <c r="F126" s="102"/>
      <c r="G126" s="102"/>
      <c r="H126" s="102"/>
      <c r="I126" s="102"/>
      <c r="J126" s="102"/>
      <c r="K126" s="102"/>
      <c r="L126" s="102"/>
      <c r="M126" s="98"/>
      <c r="N126" s="100"/>
    </row>
    <row r="127" spans="1:14">
      <c r="A127" s="97" t="s">
        <v>2306</v>
      </c>
      <c r="B127" s="84"/>
      <c r="C127" s="65"/>
      <c r="D127" s="94"/>
      <c r="E127" s="84"/>
      <c r="F127" s="84"/>
      <c r="G127" s="84"/>
      <c r="H127" s="84"/>
      <c r="I127" s="84"/>
      <c r="J127" s="84"/>
      <c r="K127" s="84"/>
      <c r="L127" s="84"/>
      <c r="M127" s="98"/>
      <c r="N127" s="97"/>
    </row>
    <row r="128" spans="1:14">
      <c r="A128" s="97" t="s">
        <v>2306</v>
      </c>
      <c r="B128" s="84"/>
      <c r="C128" s="65"/>
      <c r="D128" s="94"/>
      <c r="E128" s="84"/>
      <c r="F128" s="84"/>
      <c r="G128" s="84"/>
      <c r="H128" s="84"/>
      <c r="I128" s="84"/>
      <c r="J128" s="84"/>
      <c r="K128" s="84"/>
      <c r="L128" s="84"/>
      <c r="M128" s="98"/>
      <c r="N128" s="97"/>
    </row>
    <row r="129" spans="1:14" ht="15" thickBot="1">
      <c r="A129" s="99" t="s">
        <v>2306</v>
      </c>
      <c r="B129" s="95"/>
      <c r="C129" s="70"/>
      <c r="D129" s="103"/>
      <c r="E129" s="95"/>
      <c r="F129" s="95"/>
      <c r="G129" s="95"/>
      <c r="H129" s="95"/>
      <c r="I129" s="95"/>
      <c r="J129" s="95"/>
      <c r="K129" s="95"/>
      <c r="L129" s="95"/>
      <c r="M129" s="104"/>
      <c r="N129" s="99"/>
    </row>
    <row r="130" spans="1:14" ht="15" thickTop="1"/>
    <row r="131" spans="1:14">
      <c r="B131">
        <v>53</v>
      </c>
    </row>
    <row r="133" spans="1:14" ht="23.25" thickBot="1">
      <c r="A133" s="36" t="s">
        <v>435</v>
      </c>
      <c r="B133" s="61" t="s">
        <v>498</v>
      </c>
      <c r="C133" s="41"/>
      <c r="D133" s="36" t="s">
        <v>436</v>
      </c>
      <c r="E133" s="61" t="s">
        <v>444</v>
      </c>
      <c r="F133" s="41"/>
      <c r="G133" s="41" t="s">
        <v>455</v>
      </c>
      <c r="H133" s="61" t="s">
        <v>664</v>
      </c>
      <c r="I133" s="41"/>
      <c r="J133" s="41" t="s">
        <v>456</v>
      </c>
      <c r="K133" s="61" t="s">
        <v>1357</v>
      </c>
      <c r="L133" s="41"/>
      <c r="M133" s="41"/>
      <c r="N133" s="36" t="s">
        <v>435</v>
      </c>
    </row>
    <row r="134" spans="1:14" ht="23.25" thickTop="1">
      <c r="A134" s="42">
        <v>21</v>
      </c>
      <c r="B134" s="43" t="s">
        <v>499</v>
      </c>
      <c r="C134" s="44" t="s">
        <v>459</v>
      </c>
      <c r="D134" s="45" t="s">
        <v>440</v>
      </c>
      <c r="E134" s="46" t="s">
        <v>461</v>
      </c>
      <c r="F134" s="46" t="s">
        <v>462</v>
      </c>
      <c r="G134" s="46" t="s">
        <v>463</v>
      </c>
      <c r="H134" s="46" t="s">
        <v>441</v>
      </c>
      <c r="I134" s="46" t="s">
        <v>467</v>
      </c>
      <c r="J134" s="46" t="s">
        <v>466</v>
      </c>
      <c r="K134" s="46" t="s">
        <v>470</v>
      </c>
      <c r="L134" s="46" t="s">
        <v>410</v>
      </c>
      <c r="M134" s="47" t="s">
        <v>442</v>
      </c>
      <c r="N134" s="42" t="s">
        <v>439</v>
      </c>
    </row>
    <row r="135" spans="1:14" ht="18.75">
      <c r="A135" s="97" t="s">
        <v>2310</v>
      </c>
      <c r="B135" s="304" t="s">
        <v>2311</v>
      </c>
      <c r="C135" s="305" t="s">
        <v>595</v>
      </c>
      <c r="D135" s="306" t="s">
        <v>653</v>
      </c>
      <c r="E135" s="304" t="s">
        <v>1322</v>
      </c>
      <c r="F135" s="304" t="s">
        <v>1322</v>
      </c>
      <c r="G135" s="196"/>
      <c r="H135" s="196"/>
      <c r="I135" s="179"/>
      <c r="J135" s="179"/>
      <c r="K135" s="179"/>
      <c r="L135" s="183"/>
      <c r="M135" s="225"/>
      <c r="N135" s="214" t="s">
        <v>1344</v>
      </c>
    </row>
    <row r="136" spans="1:14" ht="18.75">
      <c r="A136" s="97" t="s">
        <v>2312</v>
      </c>
      <c r="B136" s="179" t="s">
        <v>2313</v>
      </c>
      <c r="C136" s="305" t="s">
        <v>595</v>
      </c>
      <c r="D136" s="306" t="s">
        <v>659</v>
      </c>
      <c r="E136" s="304"/>
      <c r="F136" s="304"/>
      <c r="G136" s="304" t="s">
        <v>1322</v>
      </c>
      <c r="H136" s="304" t="s">
        <v>1322</v>
      </c>
      <c r="I136" s="304"/>
      <c r="J136" s="304"/>
      <c r="K136" s="304"/>
      <c r="L136" s="308"/>
      <c r="M136" s="225"/>
      <c r="N136" s="214" t="s">
        <v>1345</v>
      </c>
    </row>
    <row r="137" spans="1:14" ht="18.75">
      <c r="A137" s="97" t="s">
        <v>2314</v>
      </c>
      <c r="B137" s="304" t="s">
        <v>2315</v>
      </c>
      <c r="C137" s="305" t="s">
        <v>595</v>
      </c>
      <c r="D137" s="306" t="s">
        <v>651</v>
      </c>
      <c r="E137" s="304"/>
      <c r="F137" s="304"/>
      <c r="G137" s="304" t="s">
        <v>1322</v>
      </c>
      <c r="H137" s="304" t="s">
        <v>1322</v>
      </c>
      <c r="I137" s="304"/>
      <c r="J137" s="304"/>
      <c r="K137" s="304"/>
      <c r="L137" s="308"/>
      <c r="M137" s="225"/>
      <c r="N137" s="214" t="s">
        <v>1346</v>
      </c>
    </row>
    <row r="138" spans="1:14" ht="19.5" thickBot="1">
      <c r="A138" s="99" t="s">
        <v>2316</v>
      </c>
      <c r="B138" s="312" t="s">
        <v>2317</v>
      </c>
      <c r="C138" s="189" t="s">
        <v>595</v>
      </c>
      <c r="D138" s="224" t="s">
        <v>654</v>
      </c>
      <c r="E138" s="196"/>
      <c r="F138" s="196"/>
      <c r="G138" s="196"/>
      <c r="H138" s="196"/>
      <c r="I138" s="179" t="s">
        <v>1322</v>
      </c>
      <c r="J138" s="179" t="s">
        <v>1322</v>
      </c>
      <c r="K138" s="304"/>
      <c r="L138" s="308"/>
      <c r="M138" s="225"/>
      <c r="N138" s="214" t="s">
        <v>1347</v>
      </c>
    </row>
    <row r="139" spans="1:14" ht="19.5" thickTop="1">
      <c r="A139" s="100" t="s">
        <v>2318</v>
      </c>
      <c r="B139" s="304" t="s">
        <v>2319</v>
      </c>
      <c r="C139" s="305" t="s">
        <v>595</v>
      </c>
      <c r="D139" s="306" t="s">
        <v>655</v>
      </c>
      <c r="E139" s="304"/>
      <c r="F139" s="304"/>
      <c r="G139" s="304"/>
      <c r="H139" s="304"/>
      <c r="I139" s="304" t="s">
        <v>1322</v>
      </c>
      <c r="J139" s="313" t="s">
        <v>1352</v>
      </c>
      <c r="K139" s="304"/>
      <c r="L139" s="314"/>
      <c r="M139" s="225"/>
      <c r="N139" s="214" t="s">
        <v>1348</v>
      </c>
    </row>
    <row r="140" spans="1:14" ht="19.5" thickBot="1">
      <c r="A140" s="97" t="s">
        <v>2320</v>
      </c>
      <c r="B140" s="304" t="s">
        <v>2321</v>
      </c>
      <c r="C140" s="305" t="s">
        <v>595</v>
      </c>
      <c r="D140" s="306" t="s">
        <v>1324</v>
      </c>
      <c r="E140" s="304"/>
      <c r="F140" s="304"/>
      <c r="G140" s="304"/>
      <c r="H140" s="304"/>
      <c r="I140" s="304"/>
      <c r="J140" s="304"/>
      <c r="K140" s="304" t="s">
        <v>1322</v>
      </c>
      <c r="L140" s="314" t="s">
        <v>604</v>
      </c>
      <c r="M140" s="225"/>
      <c r="N140" s="215" t="s">
        <v>1349</v>
      </c>
    </row>
    <row r="141" spans="1:14" ht="19.5" thickTop="1">
      <c r="A141" s="97" t="s">
        <v>2322</v>
      </c>
      <c r="B141" s="310" t="s">
        <v>2323</v>
      </c>
      <c r="C141" s="311" t="s">
        <v>596</v>
      </c>
      <c r="D141" s="304" t="s">
        <v>656</v>
      </c>
      <c r="E141" s="304" t="s">
        <v>1322</v>
      </c>
      <c r="F141" s="313" t="s">
        <v>1352</v>
      </c>
      <c r="G141" s="304"/>
      <c r="H141" s="304"/>
      <c r="I141" s="304"/>
      <c r="J141" s="304"/>
      <c r="K141" s="304"/>
      <c r="L141" s="308"/>
      <c r="M141" s="225"/>
      <c r="N141" s="216" t="s">
        <v>1350</v>
      </c>
    </row>
    <row r="142" spans="1:14" ht="19.5" thickBot="1">
      <c r="A142" s="99" t="s">
        <v>2324</v>
      </c>
      <c r="B142" s="185" t="s">
        <v>2325</v>
      </c>
      <c r="C142" s="311" t="s">
        <v>596</v>
      </c>
      <c r="D142" s="306" t="s">
        <v>651</v>
      </c>
      <c r="E142" s="304" t="s">
        <v>1322</v>
      </c>
      <c r="F142" s="304" t="s">
        <v>1322</v>
      </c>
      <c r="G142" s="304"/>
      <c r="H142" s="304"/>
      <c r="I142" s="304"/>
      <c r="J142" s="304"/>
      <c r="K142" s="304"/>
      <c r="L142" s="308"/>
      <c r="M142" s="225"/>
      <c r="N142" s="216" t="s">
        <v>1351</v>
      </c>
    </row>
    <row r="143" spans="1:14" ht="15" thickTop="1"/>
    <row r="144" spans="1:14">
      <c r="B144">
        <v>53</v>
      </c>
    </row>
    <row r="146" spans="1:14" ht="23.25" thickBot="1">
      <c r="A146" s="36" t="s">
        <v>435</v>
      </c>
      <c r="B146" s="61" t="s">
        <v>498</v>
      </c>
      <c r="C146" s="41"/>
      <c r="D146" s="36" t="s">
        <v>436</v>
      </c>
      <c r="E146" s="61" t="s">
        <v>444</v>
      </c>
      <c r="F146" s="41"/>
      <c r="G146" s="41" t="s">
        <v>455</v>
      </c>
      <c r="H146" s="61" t="s">
        <v>664</v>
      </c>
      <c r="I146" s="41"/>
      <c r="J146" s="41" t="s">
        <v>456</v>
      </c>
      <c r="K146" s="61" t="s">
        <v>1357</v>
      </c>
      <c r="L146" s="41"/>
      <c r="M146" s="41"/>
      <c r="N146" s="36" t="s">
        <v>435</v>
      </c>
    </row>
    <row r="147" spans="1:14" ht="23.25" thickTop="1">
      <c r="A147" s="42">
        <v>21</v>
      </c>
      <c r="B147" s="43" t="s">
        <v>499</v>
      </c>
      <c r="C147" s="44" t="s">
        <v>459</v>
      </c>
      <c r="D147" s="45" t="s">
        <v>440</v>
      </c>
      <c r="E147" s="46" t="s">
        <v>461</v>
      </c>
      <c r="F147" s="46" t="s">
        <v>462</v>
      </c>
      <c r="G147" s="46" t="s">
        <v>463</v>
      </c>
      <c r="H147" s="46" t="s">
        <v>441</v>
      </c>
      <c r="I147" s="46" t="s">
        <v>467</v>
      </c>
      <c r="J147" s="46" t="s">
        <v>466</v>
      </c>
      <c r="K147" s="46" t="s">
        <v>470</v>
      </c>
      <c r="L147" s="46" t="s">
        <v>410</v>
      </c>
      <c r="M147" s="47" t="s">
        <v>442</v>
      </c>
      <c r="N147" s="42" t="s">
        <v>439</v>
      </c>
    </row>
    <row r="148" spans="1:14" ht="18.75">
      <c r="A148" s="97" t="s">
        <v>2328</v>
      </c>
      <c r="B148" s="185" t="s">
        <v>2329</v>
      </c>
      <c r="C148" s="311" t="s">
        <v>596</v>
      </c>
      <c r="D148" s="306" t="s">
        <v>660</v>
      </c>
      <c r="E148" s="304"/>
      <c r="F148" s="304"/>
      <c r="G148" s="304" t="s">
        <v>1322</v>
      </c>
      <c r="H148" s="304" t="s">
        <v>1322</v>
      </c>
      <c r="I148" s="304"/>
      <c r="J148" s="304"/>
      <c r="K148" s="304"/>
      <c r="L148" s="308"/>
      <c r="M148" s="227"/>
      <c r="N148" s="216" t="s">
        <v>1353</v>
      </c>
    </row>
    <row r="149" spans="1:14" ht="18.75">
      <c r="A149" s="97" t="s">
        <v>2330</v>
      </c>
      <c r="B149" s="179" t="s">
        <v>2331</v>
      </c>
      <c r="C149" s="305" t="s">
        <v>596</v>
      </c>
      <c r="D149" s="306" t="s">
        <v>662</v>
      </c>
      <c r="E149" s="304"/>
      <c r="F149" s="304"/>
      <c r="G149" s="304"/>
      <c r="H149" s="304"/>
      <c r="I149" s="304" t="s">
        <v>1322</v>
      </c>
      <c r="J149" s="304" t="s">
        <v>1322</v>
      </c>
      <c r="K149" s="304"/>
      <c r="L149" s="304"/>
      <c r="M149" s="225"/>
      <c r="N149" s="214" t="s">
        <v>1354</v>
      </c>
    </row>
    <row r="150" spans="1:14" ht="18.75">
      <c r="A150" s="97" t="s">
        <v>2332</v>
      </c>
      <c r="B150" s="185" t="s">
        <v>2333</v>
      </c>
      <c r="C150" s="311" t="s">
        <v>596</v>
      </c>
      <c r="D150" s="306" t="s">
        <v>652</v>
      </c>
      <c r="E150" s="304"/>
      <c r="F150" s="304"/>
      <c r="G150" s="304"/>
      <c r="H150" s="304"/>
      <c r="I150" s="304"/>
      <c r="J150" s="304"/>
      <c r="K150" s="304" t="s">
        <v>1322</v>
      </c>
      <c r="L150" s="304" t="s">
        <v>1322</v>
      </c>
      <c r="M150" s="225"/>
      <c r="N150" s="214" t="s">
        <v>1355</v>
      </c>
    </row>
    <row r="151" spans="1:14" ht="19.5" thickBot="1">
      <c r="A151" s="99" t="s">
        <v>2334</v>
      </c>
      <c r="B151" s="185" t="s">
        <v>2335</v>
      </c>
      <c r="C151" s="189" t="s">
        <v>596</v>
      </c>
      <c r="D151" s="206" t="s">
        <v>663</v>
      </c>
      <c r="E151" s="188"/>
      <c r="F151" s="188"/>
      <c r="G151" s="179"/>
      <c r="H151" s="179"/>
      <c r="I151" s="188"/>
      <c r="J151" s="188"/>
      <c r="K151" s="179" t="s">
        <v>1322</v>
      </c>
      <c r="L151" s="179" t="s">
        <v>1322</v>
      </c>
      <c r="M151" s="225"/>
      <c r="N151" s="215" t="s">
        <v>1356</v>
      </c>
    </row>
    <row r="152" spans="1:14" ht="15" thickTop="1">
      <c r="A152" s="100" t="s">
        <v>2336</v>
      </c>
      <c r="B152" s="96"/>
      <c r="C152" s="72"/>
      <c r="D152" s="101"/>
      <c r="E152" s="102"/>
      <c r="F152" s="102"/>
      <c r="G152" s="102"/>
      <c r="H152" s="102"/>
      <c r="I152" s="102"/>
      <c r="J152" s="102"/>
      <c r="K152" s="102"/>
      <c r="L152" s="102"/>
      <c r="M152" s="98"/>
      <c r="N152" s="100"/>
    </row>
    <row r="153" spans="1:14">
      <c r="A153" s="97" t="s">
        <v>2336</v>
      </c>
      <c r="B153" s="84"/>
      <c r="C153" s="65"/>
      <c r="D153" s="94"/>
      <c r="E153" s="84"/>
      <c r="F153" s="84"/>
      <c r="G153" s="84"/>
      <c r="H153" s="84"/>
      <c r="I153" s="84"/>
      <c r="J153" s="84"/>
      <c r="K153" s="84"/>
      <c r="L153" s="84"/>
      <c r="M153" s="98"/>
      <c r="N153" s="97"/>
    </row>
    <row r="154" spans="1:14">
      <c r="A154" s="97" t="s">
        <v>2336</v>
      </c>
      <c r="B154" s="84"/>
      <c r="C154" s="65"/>
      <c r="D154" s="94"/>
      <c r="E154" s="84"/>
      <c r="F154" s="84"/>
      <c r="G154" s="84"/>
      <c r="H154" s="84"/>
      <c r="I154" s="84"/>
      <c r="J154" s="84"/>
      <c r="K154" s="84"/>
      <c r="L154" s="84"/>
      <c r="M154" s="98"/>
      <c r="N154" s="97"/>
    </row>
    <row r="155" spans="1:14" ht="15" thickBot="1">
      <c r="A155" s="99" t="s">
        <v>2336</v>
      </c>
      <c r="B155" s="95"/>
      <c r="C155" s="70"/>
      <c r="D155" s="103"/>
      <c r="E155" s="95"/>
      <c r="F155" s="95"/>
      <c r="G155" s="95"/>
      <c r="H155" s="95"/>
      <c r="I155" s="95"/>
      <c r="J155" s="95"/>
      <c r="K155" s="95"/>
      <c r="L155" s="95"/>
      <c r="M155" s="104"/>
      <c r="N155" s="99"/>
    </row>
    <row r="156" spans="1:14" ht="15" thickTop="1"/>
    <row r="157" spans="1:14">
      <c r="B157">
        <v>21</v>
      </c>
    </row>
    <row r="159" spans="1:14" ht="23.25" thickBot="1">
      <c r="A159" s="36" t="s">
        <v>435</v>
      </c>
      <c r="B159" s="61" t="s">
        <v>1358</v>
      </c>
      <c r="C159" s="41"/>
      <c r="D159" s="36" t="s">
        <v>436</v>
      </c>
      <c r="E159" s="61" t="s">
        <v>444</v>
      </c>
      <c r="F159" s="41"/>
      <c r="G159" s="41" t="s">
        <v>455</v>
      </c>
      <c r="H159" s="166" t="s">
        <v>1379</v>
      </c>
      <c r="I159" s="41"/>
      <c r="J159" s="41" t="s">
        <v>456</v>
      </c>
      <c r="K159" s="166" t="s">
        <v>133</v>
      </c>
      <c r="L159" s="41"/>
      <c r="M159" s="41"/>
      <c r="N159" s="36" t="s">
        <v>435</v>
      </c>
    </row>
    <row r="160" spans="1:14" ht="23.25" thickTop="1">
      <c r="A160" s="42">
        <v>21</v>
      </c>
      <c r="B160" s="43" t="s">
        <v>499</v>
      </c>
      <c r="C160" s="44" t="s">
        <v>459</v>
      </c>
      <c r="D160" s="45" t="s">
        <v>440</v>
      </c>
      <c r="E160" s="46" t="s">
        <v>461</v>
      </c>
      <c r="F160" s="46" t="s">
        <v>462</v>
      </c>
      <c r="G160" s="46" t="s">
        <v>463</v>
      </c>
      <c r="H160" s="46" t="s">
        <v>441</v>
      </c>
      <c r="I160" s="46" t="s">
        <v>467</v>
      </c>
      <c r="J160" s="46" t="s">
        <v>466</v>
      </c>
      <c r="K160" s="46" t="s">
        <v>470</v>
      </c>
      <c r="L160" s="46" t="s">
        <v>410</v>
      </c>
      <c r="M160" s="47" t="s">
        <v>442</v>
      </c>
      <c r="N160" s="42" t="s">
        <v>439</v>
      </c>
    </row>
    <row r="161" spans="1:14" ht="15">
      <c r="A161" s="97" t="s">
        <v>2341</v>
      </c>
      <c r="B161" s="179" t="s">
        <v>2342</v>
      </c>
      <c r="C161" s="199" t="s">
        <v>595</v>
      </c>
      <c r="D161" s="179" t="s">
        <v>1367</v>
      </c>
      <c r="E161" s="179"/>
      <c r="F161" s="179"/>
      <c r="G161" s="179" t="s">
        <v>1368</v>
      </c>
      <c r="H161" s="179" t="s">
        <v>1368</v>
      </c>
      <c r="I161" s="179"/>
      <c r="J161" s="179"/>
      <c r="K161" s="179"/>
      <c r="L161" s="179"/>
      <c r="M161" s="181"/>
      <c r="N161" s="296" t="s">
        <v>1359</v>
      </c>
    </row>
    <row r="162" spans="1:14" ht="15">
      <c r="A162" s="97" t="s">
        <v>2344</v>
      </c>
      <c r="B162" s="179" t="s">
        <v>2345</v>
      </c>
      <c r="C162" s="199" t="s">
        <v>595</v>
      </c>
      <c r="D162" s="179" t="s">
        <v>1369</v>
      </c>
      <c r="E162" s="179"/>
      <c r="F162" s="179"/>
      <c r="G162" s="179"/>
      <c r="H162" s="179"/>
      <c r="I162" s="179"/>
      <c r="J162" s="179"/>
      <c r="K162" s="179" t="s">
        <v>1368</v>
      </c>
      <c r="L162" s="179" t="s">
        <v>1368</v>
      </c>
      <c r="M162" s="181"/>
      <c r="N162" s="296" t="s">
        <v>1360</v>
      </c>
    </row>
    <row r="163" spans="1:14" ht="15">
      <c r="A163" s="97" t="s">
        <v>2347</v>
      </c>
      <c r="B163" s="179" t="s">
        <v>2348</v>
      </c>
      <c r="C163" s="199" t="s">
        <v>595</v>
      </c>
      <c r="D163" s="179" t="s">
        <v>1369</v>
      </c>
      <c r="E163" s="179" t="s">
        <v>1368</v>
      </c>
      <c r="F163" s="195"/>
      <c r="G163" s="179"/>
      <c r="H163" s="179"/>
      <c r="I163" s="179" t="s">
        <v>1368</v>
      </c>
      <c r="J163" s="179"/>
      <c r="K163" s="179"/>
      <c r="L163" s="179"/>
      <c r="M163" s="181"/>
      <c r="N163" s="296" t="s">
        <v>1361</v>
      </c>
    </row>
    <row r="164" spans="1:14" ht="15.75" thickBot="1">
      <c r="A164" s="99" t="s">
        <v>2350</v>
      </c>
      <c r="B164" s="179" t="s">
        <v>2351</v>
      </c>
      <c r="C164" s="199" t="s">
        <v>595</v>
      </c>
      <c r="D164" s="179" t="s">
        <v>1370</v>
      </c>
      <c r="E164" s="179"/>
      <c r="F164" s="179" t="s">
        <v>1368</v>
      </c>
      <c r="G164" s="179"/>
      <c r="H164" s="179"/>
      <c r="I164" s="195"/>
      <c r="J164" s="179" t="s">
        <v>1368</v>
      </c>
      <c r="K164" s="179"/>
      <c r="L164" s="179"/>
      <c r="M164" s="181"/>
      <c r="N164" s="296" t="s">
        <v>1362</v>
      </c>
    </row>
    <row r="165" spans="1:14" ht="15.75" thickTop="1">
      <c r="A165" s="100" t="s">
        <v>2353</v>
      </c>
      <c r="B165" s="179" t="s">
        <v>2354</v>
      </c>
      <c r="C165" s="199" t="s">
        <v>595</v>
      </c>
      <c r="D165" s="179" t="s">
        <v>1371</v>
      </c>
      <c r="E165" s="179"/>
      <c r="F165" s="179"/>
      <c r="G165" s="179" t="s">
        <v>1368</v>
      </c>
      <c r="H165" s="179" t="s">
        <v>1368</v>
      </c>
      <c r="I165" s="179"/>
      <c r="J165" s="179"/>
      <c r="K165" s="179"/>
      <c r="L165" s="179"/>
      <c r="M165" s="181"/>
      <c r="N165" s="296" t="s">
        <v>1363</v>
      </c>
    </row>
    <row r="166" spans="1:14" ht="15">
      <c r="A166" s="97" t="s">
        <v>2356</v>
      </c>
      <c r="B166" s="179" t="s">
        <v>2357</v>
      </c>
      <c r="C166" s="199" t="s">
        <v>595</v>
      </c>
      <c r="D166" s="179" t="s">
        <v>1372</v>
      </c>
      <c r="E166" s="179" t="s">
        <v>1368</v>
      </c>
      <c r="F166" s="179" t="s">
        <v>1368</v>
      </c>
      <c r="G166" s="179"/>
      <c r="H166" s="179"/>
      <c r="I166" s="179"/>
      <c r="J166" s="179"/>
      <c r="K166" s="179"/>
      <c r="L166" s="179"/>
      <c r="M166" s="181"/>
      <c r="N166" s="296" t="s">
        <v>1364</v>
      </c>
    </row>
    <row r="167" spans="1:14" ht="15">
      <c r="A167" s="97" t="s">
        <v>2359</v>
      </c>
      <c r="B167" s="179" t="s">
        <v>2360</v>
      </c>
      <c r="C167" s="199" t="s">
        <v>596</v>
      </c>
      <c r="D167" s="179" t="s">
        <v>1372</v>
      </c>
      <c r="E167" s="179" t="s">
        <v>1368</v>
      </c>
      <c r="F167" s="179" t="s">
        <v>1368</v>
      </c>
      <c r="G167" s="179"/>
      <c r="H167" s="179"/>
      <c r="I167" s="179"/>
      <c r="J167" s="179"/>
      <c r="K167" s="179"/>
      <c r="L167" s="179"/>
      <c r="M167" s="181"/>
      <c r="N167" s="296" t="s">
        <v>1365</v>
      </c>
    </row>
    <row r="168" spans="1:14" ht="15.75" thickBot="1">
      <c r="A168" s="99" t="s">
        <v>2362</v>
      </c>
      <c r="B168" s="179" t="s">
        <v>2363</v>
      </c>
      <c r="C168" s="199" t="s">
        <v>596</v>
      </c>
      <c r="D168" s="179" t="s">
        <v>1373</v>
      </c>
      <c r="E168" s="179"/>
      <c r="F168" s="179"/>
      <c r="G168" s="179"/>
      <c r="H168" s="179"/>
      <c r="I168" s="179"/>
      <c r="J168" s="179"/>
      <c r="K168" s="179" t="s">
        <v>1374</v>
      </c>
      <c r="L168" s="179" t="s">
        <v>1368</v>
      </c>
      <c r="M168" s="181"/>
      <c r="N168" s="296" t="s">
        <v>1366</v>
      </c>
    </row>
    <row r="169" spans="1:14" ht="15" thickTop="1"/>
    <row r="170" spans="1:14">
      <c r="B170">
        <v>21</v>
      </c>
    </row>
    <row r="172" spans="1:14" ht="23.25" thickBot="1">
      <c r="A172" s="36" t="s">
        <v>435</v>
      </c>
      <c r="B172" s="61" t="s">
        <v>1358</v>
      </c>
      <c r="C172" s="41"/>
      <c r="D172" s="36" t="s">
        <v>436</v>
      </c>
      <c r="E172" s="61" t="s">
        <v>444</v>
      </c>
      <c r="F172" s="41"/>
      <c r="G172" s="41" t="s">
        <v>455</v>
      </c>
      <c r="H172" s="166" t="s">
        <v>1379</v>
      </c>
      <c r="I172" s="41"/>
      <c r="J172" s="41" t="s">
        <v>456</v>
      </c>
      <c r="K172" s="166" t="s">
        <v>133</v>
      </c>
      <c r="L172" s="41"/>
      <c r="M172" s="41"/>
      <c r="N172" s="36" t="s">
        <v>435</v>
      </c>
    </row>
    <row r="173" spans="1:14" ht="23.25" thickTop="1">
      <c r="A173" s="42">
        <v>21</v>
      </c>
      <c r="B173" s="43" t="s">
        <v>499</v>
      </c>
      <c r="C173" s="44" t="s">
        <v>459</v>
      </c>
      <c r="D173" s="45" t="s">
        <v>440</v>
      </c>
      <c r="E173" s="46" t="s">
        <v>461</v>
      </c>
      <c r="F173" s="46" t="s">
        <v>462</v>
      </c>
      <c r="G173" s="46" t="s">
        <v>463</v>
      </c>
      <c r="H173" s="46" t="s">
        <v>441</v>
      </c>
      <c r="I173" s="46" t="s">
        <v>467</v>
      </c>
      <c r="J173" s="46" t="s">
        <v>466</v>
      </c>
      <c r="K173" s="46" t="s">
        <v>470</v>
      </c>
      <c r="L173" s="46" t="s">
        <v>410</v>
      </c>
      <c r="M173" s="47" t="s">
        <v>442</v>
      </c>
      <c r="N173" s="42" t="s">
        <v>439</v>
      </c>
    </row>
    <row r="174" spans="1:14" ht="15">
      <c r="A174" s="97" t="s">
        <v>2367</v>
      </c>
      <c r="B174" s="179" t="s">
        <v>2368</v>
      </c>
      <c r="C174" s="199" t="s">
        <v>596</v>
      </c>
      <c r="D174" s="179" t="s">
        <v>1370</v>
      </c>
      <c r="E174" s="179"/>
      <c r="F174" s="179"/>
      <c r="G174" s="179"/>
      <c r="H174" s="179"/>
      <c r="I174" s="179" t="s">
        <v>1368</v>
      </c>
      <c r="J174" s="179" t="s">
        <v>1368</v>
      </c>
      <c r="K174" s="179"/>
      <c r="L174" s="179"/>
      <c r="M174" s="181"/>
      <c r="N174" s="296" t="s">
        <v>1375</v>
      </c>
    </row>
    <row r="175" spans="1:14" ht="15">
      <c r="A175" s="97" t="s">
        <v>2369</v>
      </c>
      <c r="B175" s="179" t="s">
        <v>2370</v>
      </c>
      <c r="C175" s="199" t="s">
        <v>596</v>
      </c>
      <c r="D175" s="179" t="s">
        <v>1373</v>
      </c>
      <c r="E175" s="179"/>
      <c r="F175" s="179"/>
      <c r="G175" s="179" t="s">
        <v>1368</v>
      </c>
      <c r="H175" s="179" t="s">
        <v>1368</v>
      </c>
      <c r="I175" s="179"/>
      <c r="J175" s="179"/>
      <c r="K175" s="179"/>
      <c r="L175" s="179"/>
      <c r="M175" s="181"/>
      <c r="N175" s="296" t="s">
        <v>1376</v>
      </c>
    </row>
    <row r="176" spans="1:14" ht="15">
      <c r="A176" s="97" t="s">
        <v>2371</v>
      </c>
      <c r="B176" s="179" t="s">
        <v>2372</v>
      </c>
      <c r="C176" s="199" t="s">
        <v>596</v>
      </c>
      <c r="D176" s="179" t="s">
        <v>1369</v>
      </c>
      <c r="E176" s="179"/>
      <c r="F176" s="179"/>
      <c r="G176" s="179"/>
      <c r="H176" s="179"/>
      <c r="I176" s="179" t="s">
        <v>1368</v>
      </c>
      <c r="J176" s="179" t="s">
        <v>1368</v>
      </c>
      <c r="K176" s="179"/>
      <c r="L176" s="179"/>
      <c r="M176" s="181"/>
      <c r="N176" s="296" t="s">
        <v>1377</v>
      </c>
    </row>
    <row r="177" spans="1:14" ht="15.75" thickBot="1">
      <c r="A177" s="99" t="s">
        <v>2373</v>
      </c>
      <c r="B177" s="179" t="s">
        <v>2374</v>
      </c>
      <c r="C177" s="199" t="s">
        <v>596</v>
      </c>
      <c r="D177" s="179" t="s">
        <v>1371</v>
      </c>
      <c r="E177" s="179"/>
      <c r="F177" s="179"/>
      <c r="G177" s="179"/>
      <c r="H177" s="179"/>
      <c r="I177" s="179"/>
      <c r="J177" s="179"/>
      <c r="K177" s="179" t="s">
        <v>1368</v>
      </c>
      <c r="L177" s="179" t="s">
        <v>1368</v>
      </c>
      <c r="M177" s="194"/>
      <c r="N177" s="296" t="s">
        <v>1378</v>
      </c>
    </row>
    <row r="178" spans="1:14" ht="15" thickTop="1">
      <c r="A178" s="100" t="s">
        <v>2376</v>
      </c>
      <c r="B178" s="96"/>
      <c r="C178" s="72"/>
      <c r="D178" s="101"/>
      <c r="E178" s="102"/>
      <c r="F178" s="102"/>
      <c r="G178" s="102"/>
      <c r="H178" s="102"/>
      <c r="I178" s="102"/>
      <c r="J178" s="102"/>
      <c r="K178" s="102"/>
      <c r="L178" s="102"/>
      <c r="M178" s="98"/>
      <c r="N178" s="100"/>
    </row>
    <row r="179" spans="1:14">
      <c r="A179" s="97" t="s">
        <v>2376</v>
      </c>
      <c r="B179" s="84"/>
      <c r="C179" s="65"/>
      <c r="D179" s="94"/>
      <c r="E179" s="84"/>
      <c r="F179" s="84"/>
      <c r="G179" s="84"/>
      <c r="H179" s="84"/>
      <c r="I179" s="84"/>
      <c r="J179" s="84"/>
      <c r="K179" s="84"/>
      <c r="L179" s="84"/>
      <c r="M179" s="98"/>
      <c r="N179" s="97"/>
    </row>
    <row r="180" spans="1:14">
      <c r="A180" s="97" t="s">
        <v>2376</v>
      </c>
      <c r="B180" s="84"/>
      <c r="C180" s="65"/>
      <c r="D180" s="94"/>
      <c r="E180" s="84"/>
      <c r="F180" s="84"/>
      <c r="G180" s="84"/>
      <c r="H180" s="84"/>
      <c r="I180" s="84"/>
      <c r="J180" s="84"/>
      <c r="K180" s="84"/>
      <c r="L180" s="84"/>
      <c r="M180" s="98"/>
      <c r="N180" s="97"/>
    </row>
    <row r="181" spans="1:14" ht="15" thickBot="1">
      <c r="A181" s="99" t="s">
        <v>2376</v>
      </c>
      <c r="B181" s="95"/>
      <c r="C181" s="70"/>
      <c r="D181" s="103"/>
      <c r="E181" s="95"/>
      <c r="F181" s="95"/>
      <c r="G181" s="95"/>
      <c r="H181" s="95"/>
      <c r="I181" s="95"/>
      <c r="J181" s="95"/>
      <c r="K181" s="95"/>
      <c r="L181" s="95"/>
      <c r="M181" s="104"/>
      <c r="N181" s="99"/>
    </row>
    <row r="182" spans="1:14" ht="15" thickTop="1">
      <c r="A182" s="323"/>
      <c r="B182" s="323"/>
      <c r="C182" s="323"/>
      <c r="D182" s="323"/>
      <c r="E182" s="323"/>
      <c r="F182" s="323"/>
      <c r="G182" s="323"/>
      <c r="H182" s="323"/>
      <c r="I182" s="323"/>
      <c r="J182" s="323"/>
      <c r="K182" s="323"/>
      <c r="L182" s="323"/>
      <c r="M182" s="323"/>
      <c r="N182" s="323"/>
    </row>
    <row r="183" spans="1:14">
      <c r="A183">
        <v>22710</v>
      </c>
      <c r="B183">
        <v>23</v>
      </c>
      <c r="N183">
        <v>22710</v>
      </c>
    </row>
    <row r="184" spans="1:14">
      <c r="A184">
        <v>22711</v>
      </c>
      <c r="N184">
        <v>22711</v>
      </c>
    </row>
    <row r="185" spans="1:14" ht="28.5">
      <c r="A185" s="36" t="s">
        <v>435</v>
      </c>
      <c r="B185" s="61" t="s">
        <v>1380</v>
      </c>
      <c r="C185" s="40"/>
      <c r="D185" s="36" t="s">
        <v>436</v>
      </c>
      <c r="E185" s="39" t="s">
        <v>444</v>
      </c>
      <c r="F185" s="40"/>
      <c r="G185" s="41" t="s">
        <v>455</v>
      </c>
      <c r="H185" s="61" t="s">
        <v>1261</v>
      </c>
      <c r="I185" s="40"/>
      <c r="J185" s="41" t="s">
        <v>456</v>
      </c>
      <c r="K185" s="61" t="s">
        <v>1393</v>
      </c>
      <c r="L185" s="40"/>
      <c r="M185" s="40"/>
      <c r="N185" s="36" t="s">
        <v>435</v>
      </c>
    </row>
    <row r="186" spans="1:14" ht="22.5">
      <c r="A186" s="80" t="s">
        <v>439</v>
      </c>
      <c r="B186" s="80" t="s">
        <v>458</v>
      </c>
      <c r="C186" s="80" t="s">
        <v>459</v>
      </c>
      <c r="D186" s="80" t="s">
        <v>440</v>
      </c>
      <c r="E186" s="80" t="s">
        <v>461</v>
      </c>
      <c r="F186" s="80" t="s">
        <v>462</v>
      </c>
      <c r="G186" s="80" t="s">
        <v>463</v>
      </c>
      <c r="H186" s="80" t="s">
        <v>441</v>
      </c>
      <c r="I186" s="80" t="s">
        <v>467</v>
      </c>
      <c r="J186" s="80" t="s">
        <v>466</v>
      </c>
      <c r="K186" s="80" t="s">
        <v>470</v>
      </c>
      <c r="L186" s="80" t="s">
        <v>410</v>
      </c>
      <c r="M186" s="80" t="s">
        <v>442</v>
      </c>
      <c r="N186" s="80" t="s">
        <v>439</v>
      </c>
    </row>
    <row r="187" spans="1:14" ht="15">
      <c r="A187" s="81" t="s">
        <v>2381</v>
      </c>
      <c r="B187" s="179" t="s">
        <v>2382</v>
      </c>
      <c r="C187" s="180" t="s">
        <v>595</v>
      </c>
      <c r="D187" s="182" t="s">
        <v>1372</v>
      </c>
      <c r="E187" s="179" t="s">
        <v>1368</v>
      </c>
      <c r="F187" s="179" t="s">
        <v>1368</v>
      </c>
      <c r="G187" s="179"/>
      <c r="H187" s="179"/>
      <c r="I187" s="179"/>
      <c r="J187" s="179"/>
      <c r="K187" s="179"/>
      <c r="L187" s="183"/>
      <c r="M187" s="82"/>
      <c r="N187" s="296" t="s">
        <v>1381</v>
      </c>
    </row>
    <row r="188" spans="1:14" ht="15">
      <c r="A188" s="83" t="s">
        <v>2384</v>
      </c>
      <c r="B188" s="179" t="s">
        <v>2385</v>
      </c>
      <c r="C188" s="180" t="s">
        <v>595</v>
      </c>
      <c r="D188" s="182" t="s">
        <v>1371</v>
      </c>
      <c r="E188" s="179"/>
      <c r="F188" s="179"/>
      <c r="G188" s="179" t="s">
        <v>1368</v>
      </c>
      <c r="H188" s="179" t="s">
        <v>1368</v>
      </c>
      <c r="I188" s="179"/>
      <c r="J188" s="179"/>
      <c r="K188" s="179"/>
      <c r="L188" s="183"/>
      <c r="M188" s="82"/>
      <c r="N188" s="296" t="s">
        <v>1382</v>
      </c>
    </row>
    <row r="189" spans="1:14" ht="15">
      <c r="A189" s="81" t="s">
        <v>2387</v>
      </c>
      <c r="B189" s="179" t="s">
        <v>2388</v>
      </c>
      <c r="C189" s="180" t="s">
        <v>595</v>
      </c>
      <c r="D189" s="182" t="s">
        <v>1370</v>
      </c>
      <c r="E189" s="179"/>
      <c r="F189" s="179"/>
      <c r="G189" s="179" t="s">
        <v>1368</v>
      </c>
      <c r="H189" s="179" t="s">
        <v>1368</v>
      </c>
      <c r="I189" s="179"/>
      <c r="J189" s="179"/>
      <c r="K189" s="179"/>
      <c r="L189" s="183"/>
      <c r="M189" s="84"/>
      <c r="N189" s="296" t="s">
        <v>1383</v>
      </c>
    </row>
    <row r="190" spans="1:14" ht="15">
      <c r="A190" s="83" t="s">
        <v>2390</v>
      </c>
      <c r="B190" s="179" t="s">
        <v>2391</v>
      </c>
      <c r="C190" s="180" t="s">
        <v>595</v>
      </c>
      <c r="D190" s="182" t="s">
        <v>1369</v>
      </c>
      <c r="E190" s="179"/>
      <c r="F190" s="179"/>
      <c r="G190" s="179"/>
      <c r="H190" s="179"/>
      <c r="I190" s="179"/>
      <c r="J190" s="179"/>
      <c r="K190" s="179" t="s">
        <v>1368</v>
      </c>
      <c r="L190" s="183" t="s">
        <v>1368</v>
      </c>
      <c r="M190" s="82"/>
      <c r="N190" s="296" t="s">
        <v>1384</v>
      </c>
    </row>
    <row r="191" spans="1:14" ht="15">
      <c r="A191" s="81" t="s">
        <v>2393</v>
      </c>
      <c r="B191" s="179" t="s">
        <v>2034</v>
      </c>
      <c r="C191" s="180" t="s">
        <v>595</v>
      </c>
      <c r="D191" s="182" t="s">
        <v>1370</v>
      </c>
      <c r="E191" s="179"/>
      <c r="F191" s="179"/>
      <c r="G191" s="179"/>
      <c r="H191" s="179"/>
      <c r="I191" s="179" t="s">
        <v>1368</v>
      </c>
      <c r="J191" s="179" t="s">
        <v>1368</v>
      </c>
      <c r="K191" s="179"/>
      <c r="L191" s="183"/>
      <c r="M191" s="82"/>
      <c r="N191" s="296" t="s">
        <v>1385</v>
      </c>
    </row>
    <row r="192" spans="1:14" ht="15.75" thickBot="1">
      <c r="A192" s="83" t="s">
        <v>2395</v>
      </c>
      <c r="B192" s="188" t="s">
        <v>2396</v>
      </c>
      <c r="C192" s="189" t="s">
        <v>595</v>
      </c>
      <c r="D192" s="224" t="s">
        <v>1370</v>
      </c>
      <c r="E192" s="196"/>
      <c r="F192" s="196"/>
      <c r="G192" s="196"/>
      <c r="H192" s="196"/>
      <c r="I192" s="196" t="s">
        <v>1368</v>
      </c>
      <c r="J192" s="196" t="s">
        <v>1368</v>
      </c>
      <c r="K192" s="196"/>
      <c r="L192" s="197"/>
      <c r="M192" s="82"/>
      <c r="N192" s="296" t="s">
        <v>1386</v>
      </c>
    </row>
    <row r="193" spans="1:14" ht="15.75" thickTop="1">
      <c r="A193" s="81" t="s">
        <v>2398</v>
      </c>
      <c r="B193" s="185" t="s">
        <v>2399</v>
      </c>
      <c r="C193" s="186" t="s">
        <v>596</v>
      </c>
      <c r="D193" s="182" t="s">
        <v>1371</v>
      </c>
      <c r="E193" s="179"/>
      <c r="F193" s="179"/>
      <c r="G193" s="179"/>
      <c r="H193" s="179" t="s">
        <v>1368</v>
      </c>
      <c r="I193" s="179"/>
      <c r="J193" s="179"/>
      <c r="K193" s="179" t="s">
        <v>1368</v>
      </c>
      <c r="L193" s="183"/>
      <c r="M193" s="82"/>
      <c r="N193" s="296" t="s">
        <v>1387</v>
      </c>
    </row>
    <row r="194" spans="1:14" ht="15">
      <c r="A194" s="83" t="s">
        <v>2401</v>
      </c>
      <c r="B194" s="185" t="s">
        <v>2402</v>
      </c>
      <c r="C194" s="186" t="s">
        <v>596</v>
      </c>
      <c r="D194" s="182" t="s">
        <v>1373</v>
      </c>
      <c r="E194" s="179"/>
      <c r="F194" s="179"/>
      <c r="G194" s="179" t="s">
        <v>1368</v>
      </c>
      <c r="H194" s="179"/>
      <c r="I194" s="179"/>
      <c r="J194" s="179"/>
      <c r="K194" s="179"/>
      <c r="L194" s="179" t="s">
        <v>1368</v>
      </c>
      <c r="M194" s="82"/>
      <c r="N194" s="296" t="s">
        <v>1388</v>
      </c>
    </row>
    <row r="196" spans="1:14">
      <c r="B196">
        <v>21</v>
      </c>
    </row>
    <row r="198" spans="1:14" ht="28.5">
      <c r="A198" s="36" t="s">
        <v>435</v>
      </c>
      <c r="B198" s="61" t="s">
        <v>1380</v>
      </c>
      <c r="C198" s="40"/>
      <c r="D198" s="36" t="s">
        <v>436</v>
      </c>
      <c r="E198" s="39" t="s">
        <v>444</v>
      </c>
      <c r="F198" s="40"/>
      <c r="G198" s="41" t="s">
        <v>455</v>
      </c>
      <c r="H198" s="61" t="s">
        <v>1261</v>
      </c>
      <c r="I198" s="40"/>
      <c r="J198" s="41" t="s">
        <v>456</v>
      </c>
      <c r="K198" s="61" t="s">
        <v>1393</v>
      </c>
      <c r="L198" s="40"/>
      <c r="M198" s="40"/>
      <c r="N198" s="36" t="s">
        <v>435</v>
      </c>
    </row>
    <row r="199" spans="1:14" ht="22.5">
      <c r="A199" s="80" t="s">
        <v>439</v>
      </c>
      <c r="B199" s="80" t="s">
        <v>458</v>
      </c>
      <c r="C199" s="80" t="s">
        <v>459</v>
      </c>
      <c r="D199" s="80" t="s">
        <v>440</v>
      </c>
      <c r="E199" s="80" t="s">
        <v>461</v>
      </c>
      <c r="F199" s="80" t="s">
        <v>462</v>
      </c>
      <c r="G199" s="80" t="s">
        <v>463</v>
      </c>
      <c r="H199" s="80" t="s">
        <v>441</v>
      </c>
      <c r="I199" s="80" t="s">
        <v>467</v>
      </c>
      <c r="J199" s="80" t="s">
        <v>466</v>
      </c>
      <c r="K199" s="80" t="s">
        <v>470</v>
      </c>
      <c r="L199" s="80" t="s">
        <v>55</v>
      </c>
      <c r="M199" s="80" t="s">
        <v>442</v>
      </c>
      <c r="N199" s="80" t="s">
        <v>439</v>
      </c>
    </row>
    <row r="200" spans="1:14" ht="15">
      <c r="A200" s="81" t="s">
        <v>2367</v>
      </c>
      <c r="B200" s="185" t="s">
        <v>2405</v>
      </c>
      <c r="C200" s="186" t="s">
        <v>596</v>
      </c>
      <c r="D200" s="182" t="s">
        <v>1371</v>
      </c>
      <c r="E200" s="179"/>
      <c r="F200" s="179" t="s">
        <v>1368</v>
      </c>
      <c r="G200" s="179"/>
      <c r="H200" s="179"/>
      <c r="I200" s="179"/>
      <c r="J200" s="179"/>
      <c r="K200" s="179" t="s">
        <v>1368</v>
      </c>
      <c r="L200" s="183"/>
      <c r="M200" s="82"/>
      <c r="N200" s="296" t="s">
        <v>1389</v>
      </c>
    </row>
    <row r="201" spans="1:14" ht="15.75" thickBot="1">
      <c r="A201" s="83" t="s">
        <v>2369</v>
      </c>
      <c r="B201" s="188" t="s">
        <v>2406</v>
      </c>
      <c r="C201" s="180" t="s">
        <v>596</v>
      </c>
      <c r="D201" s="182" t="s">
        <v>1373</v>
      </c>
      <c r="E201" s="179" t="s">
        <v>1368</v>
      </c>
      <c r="F201" s="179" t="s">
        <v>1368</v>
      </c>
      <c r="G201" s="179"/>
      <c r="H201" s="179"/>
      <c r="I201" s="179"/>
      <c r="J201" s="179"/>
      <c r="K201" s="179"/>
      <c r="L201" s="183"/>
      <c r="M201" s="82"/>
      <c r="N201" s="296" t="s">
        <v>1390</v>
      </c>
    </row>
    <row r="202" spans="1:14" ht="15.75" thickTop="1">
      <c r="A202" s="85" t="s">
        <v>2371</v>
      </c>
      <c r="B202" s="179" t="s">
        <v>2407</v>
      </c>
      <c r="C202" s="180" t="s">
        <v>596</v>
      </c>
      <c r="D202" s="182" t="s">
        <v>1373</v>
      </c>
      <c r="E202" s="179"/>
      <c r="F202" s="179"/>
      <c r="G202" s="179"/>
      <c r="H202" s="179"/>
      <c r="I202" s="179" t="s">
        <v>1368</v>
      </c>
      <c r="J202" s="179" t="s">
        <v>1368</v>
      </c>
      <c r="K202" s="179"/>
      <c r="L202" s="183"/>
      <c r="M202" s="84"/>
      <c r="N202" s="296" t="s">
        <v>1391</v>
      </c>
    </row>
    <row r="203" spans="1:14" ht="15.75" thickBot="1">
      <c r="A203" s="83" t="s">
        <v>2373</v>
      </c>
      <c r="B203" s="188" t="s">
        <v>2408</v>
      </c>
      <c r="C203" s="189" t="s">
        <v>596</v>
      </c>
      <c r="D203" s="206" t="s">
        <v>1369</v>
      </c>
      <c r="E203" s="188" t="s">
        <v>1368</v>
      </c>
      <c r="F203" s="188"/>
      <c r="G203" s="188"/>
      <c r="H203" s="188"/>
      <c r="I203" s="188"/>
      <c r="J203" s="188"/>
      <c r="K203" s="188"/>
      <c r="L203" s="205" t="s">
        <v>1368</v>
      </c>
      <c r="M203" s="82"/>
      <c r="N203" s="296" t="s">
        <v>1392</v>
      </c>
    </row>
    <row r="204" spans="1:14" ht="15" thickTop="1">
      <c r="A204" s="86" t="s">
        <v>2409</v>
      </c>
      <c r="B204" s="82"/>
      <c r="C204" s="82"/>
      <c r="D204" s="82"/>
      <c r="E204" s="82"/>
      <c r="F204" s="82"/>
      <c r="G204" s="82"/>
      <c r="H204" s="82"/>
      <c r="I204" s="82"/>
      <c r="J204" s="82"/>
      <c r="K204" s="82"/>
      <c r="L204" s="82"/>
      <c r="M204" s="82"/>
      <c r="N204" s="86"/>
    </row>
    <row r="205" spans="1:14">
      <c r="A205" s="81" t="s">
        <v>2409</v>
      </c>
      <c r="B205" s="82"/>
      <c r="C205" s="82"/>
      <c r="D205" s="82"/>
      <c r="E205" s="82"/>
      <c r="F205" s="82"/>
      <c r="G205" s="82"/>
      <c r="H205" s="82"/>
      <c r="I205" s="82"/>
      <c r="J205" s="82"/>
      <c r="K205" s="82"/>
      <c r="L205" s="82"/>
      <c r="M205" s="82"/>
      <c r="N205" s="81"/>
    </row>
    <row r="206" spans="1:14">
      <c r="A206" s="81" t="s">
        <v>2409</v>
      </c>
      <c r="B206" s="82"/>
      <c r="C206" s="82"/>
      <c r="D206" s="82"/>
      <c r="E206" s="82"/>
      <c r="F206" s="82"/>
      <c r="G206" s="82"/>
      <c r="H206" s="82"/>
      <c r="I206" s="82"/>
      <c r="J206" s="82"/>
      <c r="K206" s="82"/>
      <c r="L206" s="82"/>
      <c r="M206" s="82"/>
      <c r="N206" s="81"/>
    </row>
    <row r="207" spans="1:14">
      <c r="A207" s="83" t="s">
        <v>2409</v>
      </c>
      <c r="B207" s="82"/>
      <c r="C207" s="82"/>
      <c r="D207" s="82"/>
      <c r="E207" s="82"/>
      <c r="F207" s="82"/>
      <c r="G207" s="82"/>
      <c r="H207" s="82"/>
      <c r="I207" s="82"/>
      <c r="J207" s="82"/>
      <c r="K207" s="82"/>
      <c r="L207" s="82"/>
      <c r="M207" s="82"/>
      <c r="N207" s="83"/>
    </row>
  </sheetData>
  <mergeCells count="8">
    <mergeCell ref="H16:I16"/>
    <mergeCell ref="A13:N13"/>
    <mergeCell ref="A26:N26"/>
    <mergeCell ref="A182:N182"/>
    <mergeCell ref="A65:N65"/>
    <mergeCell ref="H29:I29"/>
    <mergeCell ref="A39:N39"/>
    <mergeCell ref="A52:N52"/>
  </mergeCells>
  <phoneticPr fontId="9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8"/>
  <dimension ref="A1:N130"/>
  <sheetViews>
    <sheetView workbookViewId="0">
      <selection activeCell="S119" sqref="S119"/>
    </sheetView>
  </sheetViews>
  <sheetFormatPr defaultRowHeight="13.5" customHeight="1"/>
  <cols>
    <col min="1" max="1" width="9.5" style="19" customWidth="1"/>
    <col min="2" max="2" width="10.375" style="19" customWidth="1"/>
    <col min="3" max="3" width="7.25" style="19" customWidth="1"/>
    <col min="4" max="4" width="12" style="19" customWidth="1"/>
    <col min="5" max="13" width="7.875" style="19" customWidth="1"/>
    <col min="14" max="14" width="22.5" style="19" customWidth="1"/>
    <col min="15" max="16384" width="9" style="19"/>
  </cols>
  <sheetData>
    <row r="1" spans="1:14" ht="13.5" customHeight="1">
      <c r="A1" s="19">
        <v>10</v>
      </c>
      <c r="B1" s="19">
        <v>11</v>
      </c>
      <c r="N1" s="19">
        <v>5</v>
      </c>
    </row>
    <row r="3" spans="1:14" ht="13.5" customHeight="1" thickBot="1">
      <c r="A3" s="36" t="s">
        <v>435</v>
      </c>
      <c r="B3" s="37" t="s">
        <v>432</v>
      </c>
      <c r="C3" s="38"/>
      <c r="D3" s="36" t="s">
        <v>436</v>
      </c>
      <c r="E3" s="39" t="s">
        <v>437</v>
      </c>
      <c r="F3" s="40"/>
      <c r="G3" s="41" t="s">
        <v>455</v>
      </c>
      <c r="H3" s="166" t="s">
        <v>638</v>
      </c>
      <c r="I3" s="38"/>
      <c r="J3" s="220" t="s">
        <v>456</v>
      </c>
      <c r="K3" s="166" t="s">
        <v>1728</v>
      </c>
      <c r="L3" s="38" t="s">
        <v>438</v>
      </c>
      <c r="M3" s="38"/>
      <c r="N3" s="36" t="s">
        <v>435</v>
      </c>
    </row>
    <row r="4" spans="1:14" ht="15" customHeight="1" thickTop="1">
      <c r="A4" s="42" t="s">
        <v>439</v>
      </c>
      <c r="B4" s="43" t="s">
        <v>458</v>
      </c>
      <c r="C4" s="44" t="s">
        <v>459</v>
      </c>
      <c r="D4" s="45" t="s">
        <v>440</v>
      </c>
      <c r="E4" s="46" t="s">
        <v>461</v>
      </c>
      <c r="F4" s="46" t="s">
        <v>462</v>
      </c>
      <c r="G4" s="46" t="s">
        <v>463</v>
      </c>
      <c r="H4" s="46" t="s">
        <v>441</v>
      </c>
      <c r="I4" s="46" t="s">
        <v>467</v>
      </c>
      <c r="J4" s="46" t="s">
        <v>466</v>
      </c>
      <c r="K4" s="46" t="s">
        <v>470</v>
      </c>
      <c r="L4" s="46" t="s">
        <v>468</v>
      </c>
      <c r="M4" s="47" t="s">
        <v>442</v>
      </c>
      <c r="N4" s="42" t="s">
        <v>439</v>
      </c>
    </row>
    <row r="5" spans="1:14" ht="15" customHeight="1">
      <c r="A5" s="48">
        <v>3111</v>
      </c>
      <c r="B5" s="179" t="s">
        <v>2413</v>
      </c>
      <c r="C5" s="180" t="s">
        <v>595</v>
      </c>
      <c r="D5" s="182" t="s">
        <v>1715</v>
      </c>
      <c r="E5" s="179" t="s">
        <v>597</v>
      </c>
      <c r="F5" s="179" t="s">
        <v>597</v>
      </c>
      <c r="G5" s="179"/>
      <c r="H5" s="179"/>
      <c r="I5" s="179"/>
      <c r="J5" s="179"/>
      <c r="K5" s="179"/>
      <c r="L5" s="183"/>
      <c r="M5" s="199"/>
      <c r="N5" s="162" t="s">
        <v>1707</v>
      </c>
    </row>
    <row r="6" spans="1:14" ht="15" customHeight="1">
      <c r="A6" s="48">
        <v>3112</v>
      </c>
      <c r="B6" s="179" t="s">
        <v>2415</v>
      </c>
      <c r="C6" s="180" t="s">
        <v>595</v>
      </c>
      <c r="D6" s="182" t="s">
        <v>1716</v>
      </c>
      <c r="E6"/>
      <c r="F6" s="179"/>
      <c r="G6" s="179"/>
      <c r="H6" s="179"/>
      <c r="I6" s="179"/>
      <c r="J6" s="179"/>
      <c r="K6" s="179" t="s">
        <v>597</v>
      </c>
      <c r="L6" s="179" t="s">
        <v>597</v>
      </c>
      <c r="M6" s="210"/>
      <c r="N6" s="162" t="s">
        <v>1708</v>
      </c>
    </row>
    <row r="7" spans="1:14" ht="15" customHeight="1">
      <c r="A7" s="48">
        <v>3113</v>
      </c>
      <c r="B7" s="179" t="s">
        <v>2417</v>
      </c>
      <c r="C7" s="180" t="s">
        <v>595</v>
      </c>
      <c r="D7" s="182" t="s">
        <v>1717</v>
      </c>
      <c r="E7" s="179"/>
      <c r="F7" s="179"/>
      <c r="G7" s="179" t="s">
        <v>597</v>
      </c>
      <c r="H7" s="179" t="s">
        <v>597</v>
      </c>
      <c r="I7" s="179"/>
      <c r="J7" s="179"/>
      <c r="K7" s="179"/>
      <c r="L7" s="183"/>
      <c r="M7" s="199"/>
      <c r="N7" s="162" t="s">
        <v>1709</v>
      </c>
    </row>
    <row r="8" spans="1:14" ht="15" customHeight="1" thickBot="1">
      <c r="A8" s="52">
        <v>3114</v>
      </c>
      <c r="B8" s="179" t="s">
        <v>2221</v>
      </c>
      <c r="C8" s="180" t="s">
        <v>595</v>
      </c>
      <c r="D8" s="182" t="s">
        <v>1718</v>
      </c>
      <c r="E8" s="179"/>
      <c r="F8" s="179"/>
      <c r="G8" s="179"/>
      <c r="H8" s="179"/>
      <c r="I8" s="179" t="s">
        <v>597</v>
      </c>
      <c r="J8" s="179" t="s">
        <v>597</v>
      </c>
      <c r="K8" s="179"/>
      <c r="L8" s="183"/>
      <c r="M8" s="210"/>
      <c r="N8" s="181" t="s">
        <v>1710</v>
      </c>
    </row>
    <row r="9" spans="1:14" ht="15" customHeight="1" thickTop="1">
      <c r="A9" s="54">
        <v>3115</v>
      </c>
      <c r="B9" s="179" t="s">
        <v>2418</v>
      </c>
      <c r="C9" s="180" t="s">
        <v>595</v>
      </c>
      <c r="D9" s="182" t="s">
        <v>1719</v>
      </c>
      <c r="E9" s="179"/>
      <c r="F9" s="179"/>
      <c r="G9" s="179" t="s">
        <v>597</v>
      </c>
      <c r="H9" s="179" t="s">
        <v>597</v>
      </c>
      <c r="I9" s="179"/>
      <c r="J9" s="179"/>
      <c r="K9" s="179"/>
      <c r="L9" s="183"/>
      <c r="M9" s="210"/>
      <c r="N9" s="181" t="s">
        <v>1711</v>
      </c>
    </row>
    <row r="10" spans="1:14" ht="15" customHeight="1" thickBot="1">
      <c r="A10" s="48">
        <v>3116</v>
      </c>
      <c r="B10" s="188" t="s">
        <v>2419</v>
      </c>
      <c r="C10" s="189" t="s">
        <v>595</v>
      </c>
      <c r="D10" s="224" t="s">
        <v>1720</v>
      </c>
      <c r="E10" s="315"/>
      <c r="F10" s="316"/>
      <c r="G10" s="316"/>
      <c r="H10" s="316"/>
      <c r="I10" s="316"/>
      <c r="J10" s="179" t="s">
        <v>597</v>
      </c>
      <c r="K10" s="316"/>
      <c r="L10" s="183" t="s">
        <v>597</v>
      </c>
      <c r="M10" s="210"/>
      <c r="N10" s="164" t="s">
        <v>1712</v>
      </c>
    </row>
    <row r="11" spans="1:14" ht="15" customHeight="1" thickTop="1">
      <c r="A11" s="48">
        <v>3117</v>
      </c>
      <c r="B11" s="185" t="s">
        <v>2420</v>
      </c>
      <c r="C11" s="186" t="s">
        <v>596</v>
      </c>
      <c r="D11" s="182" t="s">
        <v>1715</v>
      </c>
      <c r="E11" s="179" t="s">
        <v>597</v>
      </c>
      <c r="F11" s="179"/>
      <c r="G11" s="179"/>
      <c r="H11" s="179"/>
      <c r="I11" s="179" t="s">
        <v>597</v>
      </c>
      <c r="J11" s="179"/>
      <c r="K11" s="179"/>
      <c r="L11" s="183"/>
      <c r="M11" s="210"/>
      <c r="N11" s="163" t="s">
        <v>1713</v>
      </c>
    </row>
    <row r="12" spans="1:14" ht="15" customHeight="1" thickBot="1">
      <c r="A12" s="52">
        <v>3118</v>
      </c>
      <c r="B12" s="185" t="s">
        <v>2421</v>
      </c>
      <c r="C12" s="186" t="s">
        <v>596</v>
      </c>
      <c r="D12" s="182" t="s">
        <v>1719</v>
      </c>
      <c r="E12" s="179" t="s">
        <v>597</v>
      </c>
      <c r="F12" s="179" t="s">
        <v>597</v>
      </c>
      <c r="G12" s="179"/>
      <c r="H12" s="179"/>
      <c r="I12" s="179"/>
      <c r="J12" s="179"/>
      <c r="K12" s="179"/>
      <c r="L12" s="183"/>
      <c r="M12" s="199"/>
      <c r="N12" s="163" t="s">
        <v>1714</v>
      </c>
    </row>
    <row r="13" spans="1:14" ht="15" customHeight="1" thickTop="1">
      <c r="A13" s="324"/>
      <c r="B13" s="324"/>
      <c r="C13" s="324"/>
      <c r="D13" s="324"/>
      <c r="E13" s="324"/>
      <c r="F13" s="324"/>
      <c r="G13" s="324"/>
      <c r="H13" s="324"/>
      <c r="I13" s="324"/>
      <c r="J13" s="324"/>
      <c r="K13" s="324"/>
      <c r="L13" s="324"/>
      <c r="M13" s="324"/>
      <c r="N13" s="324"/>
    </row>
    <row r="14" spans="1:14" ht="15" customHeight="1">
      <c r="B14" s="19">
        <v>11</v>
      </c>
    </row>
    <row r="15" spans="1:14" ht="15" customHeight="1">
      <c r="A15" s="20"/>
      <c r="B15" s="20"/>
      <c r="C15" s="20"/>
      <c r="D15" s="21"/>
      <c r="E15" s="20"/>
      <c r="F15" s="20"/>
      <c r="G15" s="20"/>
      <c r="H15" s="20"/>
      <c r="I15" s="20"/>
      <c r="J15" s="20"/>
      <c r="K15" s="20"/>
      <c r="L15" s="20"/>
      <c r="M15" s="20"/>
      <c r="N15" s="20"/>
    </row>
    <row r="16" spans="1:14" ht="15" customHeight="1" thickBot="1">
      <c r="A16" s="36" t="s">
        <v>435</v>
      </c>
      <c r="B16" s="37" t="s">
        <v>398</v>
      </c>
      <c r="C16" s="38"/>
      <c r="D16" s="36" t="s">
        <v>436</v>
      </c>
      <c r="E16" s="39" t="s">
        <v>437</v>
      </c>
      <c r="F16" s="40"/>
      <c r="G16" s="41" t="s">
        <v>455</v>
      </c>
      <c r="H16" s="166" t="s">
        <v>638</v>
      </c>
      <c r="I16" s="38"/>
      <c r="J16" s="220" t="s">
        <v>456</v>
      </c>
      <c r="K16" s="166" t="s">
        <v>1729</v>
      </c>
      <c r="L16" s="38" t="s">
        <v>443</v>
      </c>
      <c r="M16" s="38"/>
      <c r="N16" s="36" t="s">
        <v>435</v>
      </c>
    </row>
    <row r="17" spans="1:14" ht="15" customHeight="1" thickTop="1">
      <c r="A17" s="42" t="s">
        <v>439</v>
      </c>
      <c r="B17" s="43" t="s">
        <v>458</v>
      </c>
      <c r="C17" s="44" t="s">
        <v>459</v>
      </c>
      <c r="D17" s="45" t="s">
        <v>440</v>
      </c>
      <c r="E17" s="46" t="s">
        <v>461</v>
      </c>
      <c r="F17" s="46" t="s">
        <v>462</v>
      </c>
      <c r="G17" s="46" t="s">
        <v>463</v>
      </c>
      <c r="H17" s="46" t="s">
        <v>441</v>
      </c>
      <c r="I17" s="46" t="s">
        <v>467</v>
      </c>
      <c r="J17" s="46" t="s">
        <v>466</v>
      </c>
      <c r="K17" s="46" t="s">
        <v>470</v>
      </c>
      <c r="L17" s="46" t="s">
        <v>468</v>
      </c>
      <c r="M17" s="47" t="s">
        <v>442</v>
      </c>
      <c r="N17" s="42" t="s">
        <v>439</v>
      </c>
    </row>
    <row r="18" spans="1:14" ht="15" customHeight="1">
      <c r="A18" s="60">
        <v>3119</v>
      </c>
      <c r="B18" s="185" t="s">
        <v>2424</v>
      </c>
      <c r="C18" s="186" t="s">
        <v>596</v>
      </c>
      <c r="D18" s="182" t="s">
        <v>1725</v>
      </c>
      <c r="E18" s="179"/>
      <c r="F18" s="179"/>
      <c r="G18" s="179"/>
      <c r="H18" s="179" t="s">
        <v>597</v>
      </c>
      <c r="I18" s="179"/>
      <c r="J18" s="179"/>
      <c r="K18" s="179" t="s">
        <v>597</v>
      </c>
      <c r="L18" s="183"/>
      <c r="M18" s="199"/>
      <c r="N18" s="163" t="s">
        <v>1721</v>
      </c>
    </row>
    <row r="19" spans="1:14" ht="15" customHeight="1">
      <c r="A19" s="48" t="s">
        <v>500</v>
      </c>
      <c r="B19" s="179" t="s">
        <v>2425</v>
      </c>
      <c r="C19" s="180" t="s">
        <v>596</v>
      </c>
      <c r="D19" s="182" t="s">
        <v>1726</v>
      </c>
      <c r="E19" s="179"/>
      <c r="F19" s="179" t="s">
        <v>597</v>
      </c>
      <c r="G19" s="179"/>
      <c r="H19" s="179"/>
      <c r="I19" s="179"/>
      <c r="J19" s="179"/>
      <c r="K19" s="179"/>
      <c r="L19" s="179" t="s">
        <v>597</v>
      </c>
      <c r="M19" s="210"/>
      <c r="N19" s="162" t="s">
        <v>1722</v>
      </c>
    </row>
    <row r="20" spans="1:14" ht="15" customHeight="1">
      <c r="A20" s="48" t="s">
        <v>501</v>
      </c>
      <c r="B20" s="179" t="s">
        <v>2427</v>
      </c>
      <c r="C20" s="180" t="s">
        <v>596</v>
      </c>
      <c r="D20" s="182" t="s">
        <v>1720</v>
      </c>
      <c r="E20" s="317"/>
      <c r="F20" s="317"/>
      <c r="G20" s="317"/>
      <c r="H20" s="317"/>
      <c r="I20" s="179" t="s">
        <v>597</v>
      </c>
      <c r="J20" s="317"/>
      <c r="K20" s="179" t="s">
        <v>597</v>
      </c>
      <c r="L20" s="318"/>
      <c r="M20" s="210"/>
      <c r="N20" s="162" t="s">
        <v>1723</v>
      </c>
    </row>
    <row r="21" spans="1:14" ht="15" customHeight="1" thickBot="1">
      <c r="A21" s="52" t="s">
        <v>502</v>
      </c>
      <c r="B21" s="188" t="s">
        <v>2429</v>
      </c>
      <c r="C21" s="189" t="s">
        <v>596</v>
      </c>
      <c r="D21" s="206" t="s">
        <v>1727</v>
      </c>
      <c r="E21" s="188"/>
      <c r="F21" s="188"/>
      <c r="G21" s="188"/>
      <c r="H21" s="179" t="s">
        <v>597</v>
      </c>
      <c r="I21" s="188"/>
      <c r="J21" s="179" t="s">
        <v>597</v>
      </c>
      <c r="K21" s="319"/>
      <c r="L21" s="205"/>
      <c r="M21" s="212"/>
      <c r="N21" s="194" t="s">
        <v>1724</v>
      </c>
    </row>
    <row r="22" spans="1:14" ht="15" customHeight="1" thickTop="1" thickBot="1">
      <c r="A22" s="54">
        <v>311</v>
      </c>
      <c r="B22" s="55"/>
      <c r="C22" s="56"/>
      <c r="D22" s="57"/>
      <c r="E22" s="58"/>
      <c r="F22" s="49"/>
      <c r="G22" s="58"/>
      <c r="H22" s="58"/>
      <c r="I22" s="58"/>
      <c r="J22" s="58"/>
      <c r="K22" s="49"/>
      <c r="L22" s="58"/>
      <c r="M22" s="51"/>
      <c r="N22" s="54"/>
    </row>
    <row r="23" spans="1:14" ht="15" customHeight="1" thickTop="1">
      <c r="A23" s="48">
        <v>311</v>
      </c>
      <c r="B23" s="49"/>
      <c r="C23" s="56"/>
      <c r="D23" s="57"/>
      <c r="E23" s="49"/>
      <c r="F23" s="49"/>
      <c r="G23" s="49"/>
      <c r="H23" s="49"/>
      <c r="I23" s="49"/>
      <c r="J23" s="49"/>
      <c r="K23" s="49"/>
      <c r="L23" s="49"/>
      <c r="M23" s="51"/>
      <c r="N23" s="48"/>
    </row>
    <row r="24" spans="1:14" ht="15" customHeight="1">
      <c r="A24" s="48">
        <v>311</v>
      </c>
      <c r="B24" s="49"/>
      <c r="C24" s="56"/>
      <c r="D24" s="50"/>
      <c r="E24" s="49"/>
      <c r="F24" s="49"/>
      <c r="G24" s="49"/>
      <c r="H24" s="49"/>
      <c r="I24" s="49"/>
      <c r="J24" s="49"/>
      <c r="K24" s="49"/>
      <c r="L24" s="49"/>
      <c r="M24" s="51"/>
      <c r="N24" s="48"/>
    </row>
    <row r="25" spans="1:14" ht="15" customHeight="1" thickBot="1">
      <c r="A25" s="52">
        <v>311</v>
      </c>
      <c r="B25" s="53"/>
      <c r="C25" s="56"/>
      <c r="D25" s="50"/>
      <c r="E25" s="53"/>
      <c r="F25" s="49"/>
      <c r="G25" s="53"/>
      <c r="H25" s="53"/>
      <c r="I25" s="53"/>
      <c r="J25" s="49"/>
      <c r="K25" s="49"/>
      <c r="L25" s="53"/>
      <c r="M25" s="59"/>
      <c r="N25" s="52"/>
    </row>
    <row r="26" spans="1:14" ht="15" customHeight="1" thickTop="1">
      <c r="A26" s="324"/>
      <c r="B26" s="324"/>
      <c r="C26" s="324"/>
      <c r="D26" s="324"/>
      <c r="E26" s="324"/>
      <c r="F26" s="324"/>
      <c r="G26" s="324"/>
      <c r="H26" s="324"/>
      <c r="I26" s="324"/>
      <c r="J26" s="324"/>
      <c r="K26" s="324"/>
      <c r="L26" s="324"/>
      <c r="M26" s="324"/>
      <c r="N26" s="324"/>
    </row>
    <row r="27" spans="1:14" ht="15" customHeight="1">
      <c r="B27" s="19">
        <v>12</v>
      </c>
    </row>
    <row r="28" spans="1:14" ht="15" customHeight="1">
      <c r="A28" s="20"/>
      <c r="B28" s="20"/>
      <c r="C28" s="20"/>
      <c r="D28" s="21"/>
      <c r="E28" s="20"/>
      <c r="F28" s="20"/>
      <c r="G28" s="20"/>
      <c r="H28" s="20"/>
      <c r="I28" s="20"/>
      <c r="J28" s="20"/>
      <c r="K28" s="20"/>
      <c r="L28" s="20"/>
      <c r="M28" s="20"/>
      <c r="N28" s="20"/>
    </row>
    <row r="29" spans="1:14" ht="15" customHeight="1" thickBot="1">
      <c r="A29" s="36" t="s">
        <v>435</v>
      </c>
      <c r="B29" s="37" t="s">
        <v>399</v>
      </c>
      <c r="C29" s="38"/>
      <c r="D29" s="36" t="s">
        <v>436</v>
      </c>
      <c r="E29" s="39" t="s">
        <v>437</v>
      </c>
      <c r="F29" s="40"/>
      <c r="G29" s="41" t="s">
        <v>455</v>
      </c>
      <c r="H29" s="223" t="s">
        <v>639</v>
      </c>
      <c r="I29" s="38"/>
      <c r="J29" s="220" t="s">
        <v>456</v>
      </c>
      <c r="K29" s="223" t="s">
        <v>1743</v>
      </c>
      <c r="L29" s="38" t="s">
        <v>443</v>
      </c>
      <c r="M29" s="38"/>
      <c r="N29" s="36" t="s">
        <v>435</v>
      </c>
    </row>
    <row r="30" spans="1:14" ht="15" customHeight="1" thickTop="1">
      <c r="A30" s="42" t="s">
        <v>439</v>
      </c>
      <c r="B30" s="43" t="s">
        <v>458</v>
      </c>
      <c r="C30" s="44" t="s">
        <v>459</v>
      </c>
      <c r="D30" s="45" t="s">
        <v>440</v>
      </c>
      <c r="E30" s="46" t="s">
        <v>461</v>
      </c>
      <c r="F30" s="46" t="s">
        <v>462</v>
      </c>
      <c r="G30" s="46" t="s">
        <v>463</v>
      </c>
      <c r="H30" s="46" t="s">
        <v>441</v>
      </c>
      <c r="I30" s="46" t="s">
        <v>467</v>
      </c>
      <c r="J30" s="46" t="s">
        <v>466</v>
      </c>
      <c r="K30" s="46" t="s">
        <v>470</v>
      </c>
      <c r="L30" s="46" t="s">
        <v>468</v>
      </c>
      <c r="M30" s="47" t="s">
        <v>442</v>
      </c>
      <c r="N30" s="42" t="s">
        <v>439</v>
      </c>
    </row>
    <row r="31" spans="1:14" ht="15" customHeight="1">
      <c r="A31" s="48">
        <v>3121</v>
      </c>
      <c r="B31" s="179" t="s">
        <v>2434</v>
      </c>
      <c r="C31" s="180" t="s">
        <v>595</v>
      </c>
      <c r="D31" s="182" t="s">
        <v>1717</v>
      </c>
      <c r="E31" s="179" t="s">
        <v>597</v>
      </c>
      <c r="F31" s="179" t="s">
        <v>597</v>
      </c>
      <c r="G31" s="179"/>
      <c r="H31" s="179"/>
      <c r="I31" s="179"/>
      <c r="J31" s="179"/>
      <c r="K31" s="179"/>
      <c r="L31" s="183"/>
      <c r="M31" s="199"/>
      <c r="N31" s="162" t="s">
        <v>1730</v>
      </c>
    </row>
    <row r="32" spans="1:14" ht="15" customHeight="1">
      <c r="A32" s="48">
        <v>3122</v>
      </c>
      <c r="B32" s="179" t="s">
        <v>2436</v>
      </c>
      <c r="C32" s="180" t="s">
        <v>595</v>
      </c>
      <c r="D32" s="182" t="s">
        <v>1725</v>
      </c>
      <c r="E32" s="179"/>
      <c r="F32" s="179"/>
      <c r="G32" s="179" t="s">
        <v>597</v>
      </c>
      <c r="H32" s="179"/>
      <c r="I32" s="179"/>
      <c r="J32" s="179" t="s">
        <v>597</v>
      </c>
      <c r="K32" s="179"/>
      <c r="L32" s="183"/>
      <c r="M32" s="199"/>
      <c r="N32" s="162" t="s">
        <v>1731</v>
      </c>
    </row>
    <row r="33" spans="1:14" ht="15" customHeight="1">
      <c r="A33" s="48">
        <v>3123</v>
      </c>
      <c r="B33" s="179" t="s">
        <v>2437</v>
      </c>
      <c r="C33" s="180" t="s">
        <v>595</v>
      </c>
      <c r="D33" s="182" t="s">
        <v>1716</v>
      </c>
      <c r="E33" s="179"/>
      <c r="F33" s="179"/>
      <c r="G33" s="179"/>
      <c r="H33" s="179"/>
      <c r="I33" s="179"/>
      <c r="J33" s="179"/>
      <c r="K33" s="179" t="s">
        <v>597</v>
      </c>
      <c r="L33" s="179" t="s">
        <v>597</v>
      </c>
      <c r="M33" s="210"/>
      <c r="N33" s="162" t="s">
        <v>1732</v>
      </c>
    </row>
    <row r="34" spans="1:14" ht="15" customHeight="1" thickBot="1">
      <c r="A34" s="52">
        <v>3124</v>
      </c>
      <c r="B34" s="179" t="s">
        <v>2438</v>
      </c>
      <c r="C34" s="180" t="s">
        <v>595</v>
      </c>
      <c r="D34" s="182" t="s">
        <v>1726</v>
      </c>
      <c r="E34" s="179"/>
      <c r="F34" s="179"/>
      <c r="G34" s="179"/>
      <c r="H34" s="179"/>
      <c r="I34" s="179"/>
      <c r="J34" s="179"/>
      <c r="K34" s="179" t="s">
        <v>597</v>
      </c>
      <c r="L34" s="179" t="s">
        <v>597</v>
      </c>
      <c r="M34" s="210"/>
      <c r="N34" s="162" t="s">
        <v>1733</v>
      </c>
    </row>
    <row r="35" spans="1:14" ht="15" customHeight="1" thickTop="1">
      <c r="A35" s="54">
        <v>3125</v>
      </c>
      <c r="B35" s="179" t="s">
        <v>2439</v>
      </c>
      <c r="C35" s="180" t="s">
        <v>595</v>
      </c>
      <c r="D35" s="182" t="s">
        <v>1719</v>
      </c>
      <c r="E35" s="179"/>
      <c r="F35" s="179"/>
      <c r="G35" s="179"/>
      <c r="H35" s="179" t="s">
        <v>597</v>
      </c>
      <c r="I35" s="179"/>
      <c r="J35" s="179" t="s">
        <v>597</v>
      </c>
      <c r="K35" s="179"/>
      <c r="L35" s="183"/>
      <c r="M35" s="210"/>
      <c r="N35" s="181" t="s">
        <v>1734</v>
      </c>
    </row>
    <row r="36" spans="1:14" ht="15" customHeight="1" thickBot="1">
      <c r="A36" s="48">
        <v>3126</v>
      </c>
      <c r="B36" s="188" t="s">
        <v>2440</v>
      </c>
      <c r="C36" s="189" t="s">
        <v>595</v>
      </c>
      <c r="D36" s="224" t="s">
        <v>1738</v>
      </c>
      <c r="E36" s="196"/>
      <c r="F36" s="179" t="s">
        <v>597</v>
      </c>
      <c r="G36" s="179" t="s">
        <v>597</v>
      </c>
      <c r="H36" s="196"/>
      <c r="I36" s="196"/>
      <c r="J36" s="179"/>
      <c r="K36" s="196"/>
      <c r="L36" s="197"/>
      <c r="M36" s="222"/>
      <c r="N36" s="164" t="s">
        <v>1735</v>
      </c>
    </row>
    <row r="37" spans="1:14" ht="15" customHeight="1" thickTop="1">
      <c r="A37" s="48">
        <v>3127</v>
      </c>
      <c r="B37" s="185" t="s">
        <v>2441</v>
      </c>
      <c r="C37" s="186" t="s">
        <v>596</v>
      </c>
      <c r="D37" s="182" t="s">
        <v>1717</v>
      </c>
      <c r="E37" s="179"/>
      <c r="F37" s="179"/>
      <c r="G37" s="179"/>
      <c r="H37" s="179" t="s">
        <v>597</v>
      </c>
      <c r="I37" s="179" t="s">
        <v>597</v>
      </c>
      <c r="J37" s="179"/>
      <c r="K37" s="179"/>
      <c r="L37" s="318"/>
      <c r="M37" s="199"/>
      <c r="N37" s="193" t="s">
        <v>1736</v>
      </c>
    </row>
    <row r="38" spans="1:14" ht="15" customHeight="1" thickBot="1">
      <c r="A38" s="52">
        <v>3128</v>
      </c>
      <c r="B38" s="185" t="s">
        <v>2442</v>
      </c>
      <c r="C38" s="186" t="s">
        <v>596</v>
      </c>
      <c r="D38" s="182" t="s">
        <v>1715</v>
      </c>
      <c r="E38" s="179" t="s">
        <v>597</v>
      </c>
      <c r="F38" s="179"/>
      <c r="G38" s="179"/>
      <c r="H38" s="179"/>
      <c r="I38" s="179" t="s">
        <v>597</v>
      </c>
      <c r="J38"/>
      <c r="K38" s="179"/>
      <c r="L38" s="183"/>
      <c r="M38" s="199"/>
      <c r="N38" s="163" t="s">
        <v>1737</v>
      </c>
    </row>
    <row r="39" spans="1:14" ht="15" customHeight="1" thickTop="1">
      <c r="A39" s="324"/>
      <c r="B39" s="324"/>
      <c r="C39" s="324"/>
      <c r="D39" s="324"/>
      <c r="E39" s="324"/>
      <c r="F39" s="324"/>
      <c r="G39" s="324"/>
      <c r="H39" s="324"/>
      <c r="I39" s="324"/>
      <c r="J39" s="324"/>
      <c r="K39" s="324"/>
      <c r="L39" s="324"/>
      <c r="M39" s="324"/>
      <c r="N39" s="324"/>
    </row>
    <row r="40" spans="1:14" ht="15" customHeight="1">
      <c r="B40" s="19">
        <v>12</v>
      </c>
    </row>
    <row r="41" spans="1:14" ht="15" customHeight="1"/>
    <row r="42" spans="1:14" ht="15" customHeight="1" thickBot="1">
      <c r="A42" s="36" t="s">
        <v>435</v>
      </c>
      <c r="B42" s="61" t="s">
        <v>496</v>
      </c>
      <c r="C42" s="62"/>
      <c r="D42" s="36" t="s">
        <v>436</v>
      </c>
      <c r="E42" s="39" t="s">
        <v>437</v>
      </c>
      <c r="F42" s="62"/>
      <c r="G42" s="41" t="s">
        <v>455</v>
      </c>
      <c r="H42" s="223" t="s">
        <v>639</v>
      </c>
      <c r="I42" s="62"/>
      <c r="J42" s="41" t="s">
        <v>456</v>
      </c>
      <c r="K42" s="223" t="s">
        <v>1743</v>
      </c>
      <c r="L42" s="62"/>
      <c r="M42" s="62"/>
      <c r="N42" s="36" t="s">
        <v>435</v>
      </c>
    </row>
    <row r="43" spans="1:14" ht="15" customHeight="1" thickTop="1">
      <c r="A43" s="42" t="s">
        <v>439</v>
      </c>
      <c r="B43" s="43" t="s">
        <v>458</v>
      </c>
      <c r="C43" s="44" t="s">
        <v>459</v>
      </c>
      <c r="D43" s="45" t="s">
        <v>440</v>
      </c>
      <c r="E43" s="46" t="s">
        <v>461</v>
      </c>
      <c r="F43" s="46" t="s">
        <v>462</v>
      </c>
      <c r="G43" s="46" t="s">
        <v>463</v>
      </c>
      <c r="H43" s="46" t="s">
        <v>441</v>
      </c>
      <c r="I43" s="46" t="s">
        <v>467</v>
      </c>
      <c r="J43" s="46" t="s">
        <v>466</v>
      </c>
      <c r="K43" s="46" t="s">
        <v>470</v>
      </c>
      <c r="L43" s="46" t="s">
        <v>468</v>
      </c>
      <c r="M43" s="47" t="s">
        <v>442</v>
      </c>
      <c r="N43" s="42" t="s">
        <v>439</v>
      </c>
    </row>
    <row r="44" spans="1:14" ht="15" customHeight="1">
      <c r="A44" s="77" t="s">
        <v>2445</v>
      </c>
      <c r="B44" s="185" t="s">
        <v>2446</v>
      </c>
      <c r="C44" s="186" t="s">
        <v>596</v>
      </c>
      <c r="D44" s="182" t="s">
        <v>1718</v>
      </c>
      <c r="E44" s="179"/>
      <c r="F44" s="179"/>
      <c r="G44" s="179"/>
      <c r="H44" s="179"/>
      <c r="I44" s="179"/>
      <c r="J44" s="179"/>
      <c r="K44" s="179" t="s">
        <v>597</v>
      </c>
      <c r="L44" s="179" t="s">
        <v>597</v>
      </c>
      <c r="M44" s="210"/>
      <c r="N44" s="163" t="s">
        <v>1739</v>
      </c>
    </row>
    <row r="45" spans="1:14" ht="15" customHeight="1">
      <c r="A45" s="78" t="s">
        <v>503</v>
      </c>
      <c r="B45" s="179" t="s">
        <v>2447</v>
      </c>
      <c r="C45" s="180" t="s">
        <v>596</v>
      </c>
      <c r="D45" s="182" t="s">
        <v>1726</v>
      </c>
      <c r="E45" s="179"/>
      <c r="F45" s="179"/>
      <c r="G45" s="179" t="s">
        <v>597</v>
      </c>
      <c r="H45" s="179" t="s">
        <v>597</v>
      </c>
      <c r="I45" s="179"/>
      <c r="J45" s="179"/>
      <c r="K45" s="179"/>
      <c r="L45" s="183"/>
      <c r="M45" s="210"/>
      <c r="N45" s="162" t="s">
        <v>1740</v>
      </c>
    </row>
    <row r="46" spans="1:14" ht="15" customHeight="1">
      <c r="A46" s="77" t="s">
        <v>2449</v>
      </c>
      <c r="B46" s="179" t="s">
        <v>2450</v>
      </c>
      <c r="C46" s="180" t="s">
        <v>596</v>
      </c>
      <c r="D46" s="182" t="s">
        <v>1738</v>
      </c>
      <c r="E46" s="179" t="s">
        <v>597</v>
      </c>
      <c r="F46" s="179" t="s">
        <v>597</v>
      </c>
      <c r="G46" s="179"/>
      <c r="H46" s="179"/>
      <c r="I46" s="179"/>
      <c r="J46" s="179"/>
      <c r="K46" s="179"/>
      <c r="L46" s="183"/>
      <c r="M46" s="210"/>
      <c r="N46" s="162" t="s">
        <v>1741</v>
      </c>
    </row>
    <row r="47" spans="1:14" ht="15" customHeight="1" thickBot="1">
      <c r="A47" s="78" t="s">
        <v>504</v>
      </c>
      <c r="B47" s="188" t="s">
        <v>2451</v>
      </c>
      <c r="C47" s="189" t="s">
        <v>596</v>
      </c>
      <c r="D47" s="182" t="s">
        <v>1726</v>
      </c>
      <c r="E47" s="188"/>
      <c r="F47" s="188"/>
      <c r="G47" s="188"/>
      <c r="H47" s="188"/>
      <c r="I47" s="179" t="s">
        <v>597</v>
      </c>
      <c r="J47" s="179" t="s">
        <v>597</v>
      </c>
      <c r="K47" s="188"/>
      <c r="L47" s="179"/>
      <c r="M47" s="212"/>
      <c r="N47" s="164" t="s">
        <v>1742</v>
      </c>
    </row>
    <row r="48" spans="1:14" ht="15" customHeight="1" thickTop="1">
      <c r="A48" s="78">
        <v>312</v>
      </c>
      <c r="B48" s="71"/>
      <c r="C48" s="72"/>
      <c r="D48" s="66"/>
      <c r="E48" s="73"/>
      <c r="F48" s="67"/>
      <c r="G48" s="67"/>
      <c r="H48" s="73"/>
      <c r="I48" s="67"/>
      <c r="J48" s="73"/>
      <c r="K48" s="73"/>
      <c r="L48" s="67"/>
      <c r="M48" s="67"/>
      <c r="N48" s="78"/>
    </row>
    <row r="49" spans="1:14" ht="15" customHeight="1">
      <c r="A49" s="78">
        <v>312</v>
      </c>
      <c r="B49" s="64"/>
      <c r="C49" s="65"/>
      <c r="D49" s="66"/>
      <c r="E49" s="67"/>
      <c r="F49" s="62"/>
      <c r="G49" s="67"/>
      <c r="H49" s="67"/>
      <c r="I49" s="67"/>
      <c r="J49" s="67"/>
      <c r="K49" s="67"/>
      <c r="L49" s="67"/>
      <c r="M49" s="67"/>
      <c r="N49" s="78"/>
    </row>
    <row r="50" spans="1:14" ht="15" customHeight="1">
      <c r="A50" s="78">
        <v>312</v>
      </c>
      <c r="B50" s="64"/>
      <c r="C50" s="65"/>
      <c r="D50" s="66"/>
      <c r="E50" s="67"/>
      <c r="F50" s="67"/>
      <c r="G50" s="62"/>
      <c r="H50" s="67"/>
      <c r="I50" s="67"/>
      <c r="J50" s="67"/>
      <c r="K50" s="67"/>
      <c r="L50" s="67"/>
      <c r="M50" s="69"/>
      <c r="N50" s="78"/>
    </row>
    <row r="51" spans="1:14" ht="15" customHeight="1" thickBot="1">
      <c r="A51" s="77" t="s">
        <v>2453</v>
      </c>
      <c r="B51" s="74"/>
      <c r="C51" s="70"/>
      <c r="D51" s="66"/>
      <c r="E51" s="67"/>
      <c r="F51" s="75"/>
      <c r="G51" s="75"/>
      <c r="H51" s="79"/>
      <c r="I51" s="79"/>
      <c r="J51" s="79"/>
      <c r="K51" s="67"/>
      <c r="L51" s="75"/>
      <c r="M51" s="76"/>
      <c r="N51" s="77"/>
    </row>
    <row r="52" spans="1:14" ht="25.5" customHeight="1" thickTop="1">
      <c r="A52" s="324" t="s">
        <v>477</v>
      </c>
      <c r="B52" s="324"/>
      <c r="C52" s="324"/>
      <c r="D52" s="324"/>
      <c r="E52" s="324"/>
      <c r="F52" s="324"/>
      <c r="G52" s="324"/>
      <c r="H52" s="324"/>
      <c r="I52" s="324"/>
      <c r="J52" s="324"/>
      <c r="K52" s="324"/>
      <c r="L52" s="324"/>
      <c r="M52" s="324"/>
      <c r="N52" s="324"/>
    </row>
    <row r="53" spans="1:14" ht="15" customHeight="1">
      <c r="B53" s="19">
        <v>13</v>
      </c>
    </row>
    <row r="54" spans="1:14" ht="15" customHeight="1"/>
    <row r="55" spans="1:14" ht="15" customHeight="1" thickBot="1">
      <c r="A55" s="36" t="s">
        <v>435</v>
      </c>
      <c r="B55" s="61" t="s">
        <v>497</v>
      </c>
      <c r="C55" s="62"/>
      <c r="D55" s="36" t="s">
        <v>436</v>
      </c>
      <c r="E55" s="39" t="s">
        <v>437</v>
      </c>
      <c r="F55" s="62"/>
      <c r="G55" s="41" t="s">
        <v>455</v>
      </c>
      <c r="H55" s="61" t="s">
        <v>1756</v>
      </c>
      <c r="I55" s="62"/>
      <c r="J55" s="41" t="s">
        <v>456</v>
      </c>
      <c r="K55" s="61" t="s">
        <v>1757</v>
      </c>
      <c r="L55" s="62"/>
      <c r="M55" s="62"/>
      <c r="N55" s="36" t="s">
        <v>435</v>
      </c>
    </row>
    <row r="56" spans="1:14" ht="15" customHeight="1" thickTop="1">
      <c r="A56" s="42" t="s">
        <v>439</v>
      </c>
      <c r="B56" s="43" t="s">
        <v>458</v>
      </c>
      <c r="C56" s="44" t="s">
        <v>459</v>
      </c>
      <c r="D56" s="45" t="s">
        <v>440</v>
      </c>
      <c r="E56" s="46" t="s">
        <v>461</v>
      </c>
      <c r="F56" s="46" t="s">
        <v>462</v>
      </c>
      <c r="G56" s="46" t="s">
        <v>463</v>
      </c>
      <c r="H56" s="46" t="s">
        <v>441</v>
      </c>
      <c r="I56" s="46" t="s">
        <v>467</v>
      </c>
      <c r="J56" s="46" t="s">
        <v>466</v>
      </c>
      <c r="K56" s="46" t="s">
        <v>470</v>
      </c>
      <c r="L56" s="46" t="s">
        <v>468</v>
      </c>
      <c r="M56" s="47" t="s">
        <v>442</v>
      </c>
      <c r="N56" s="42" t="s">
        <v>439</v>
      </c>
    </row>
    <row r="57" spans="1:14" ht="15" customHeight="1">
      <c r="A57" s="63" t="s">
        <v>2457</v>
      </c>
      <c r="B57" s="179" t="s">
        <v>2458</v>
      </c>
      <c r="C57" s="180" t="s">
        <v>595</v>
      </c>
      <c r="D57" s="182" t="s">
        <v>1725</v>
      </c>
      <c r="E57" s="179" t="s">
        <v>597</v>
      </c>
      <c r="F57" s="179" t="s">
        <v>597</v>
      </c>
      <c r="G57" s="179"/>
      <c r="H57" s="179"/>
      <c r="I57"/>
      <c r="J57" s="179"/>
      <c r="K57" s="179"/>
      <c r="L57" s="183"/>
      <c r="M57" s="199"/>
      <c r="N57" s="162" t="s">
        <v>1744</v>
      </c>
    </row>
    <row r="58" spans="1:14" ht="15" customHeight="1">
      <c r="A58" s="63" t="s">
        <v>2459</v>
      </c>
      <c r="B58" s="179" t="s">
        <v>2460</v>
      </c>
      <c r="C58" s="180" t="s">
        <v>595</v>
      </c>
      <c r="D58" s="182" t="s">
        <v>1738</v>
      </c>
      <c r="E58" s="179"/>
      <c r="F58"/>
      <c r="G58" s="179"/>
      <c r="H58" s="179" t="s">
        <v>597</v>
      </c>
      <c r="I58" s="179" t="s">
        <v>597</v>
      </c>
      <c r="J58" s="179"/>
      <c r="K58" s="179"/>
      <c r="L58" s="183"/>
      <c r="M58" s="210"/>
      <c r="N58" s="162" t="s">
        <v>1745</v>
      </c>
    </row>
    <row r="59" spans="1:14" ht="15" customHeight="1">
      <c r="A59" s="63" t="s">
        <v>2461</v>
      </c>
      <c r="B59" s="179" t="s">
        <v>2462</v>
      </c>
      <c r="C59" s="180" t="s">
        <v>595</v>
      </c>
      <c r="D59" s="182" t="s">
        <v>1720</v>
      </c>
      <c r="E59" s="179"/>
      <c r="F59" s="179"/>
      <c r="G59" s="179"/>
      <c r="H59" s="179"/>
      <c r="I59" s="179"/>
      <c r="J59" s="179" t="s">
        <v>597</v>
      </c>
      <c r="K59" s="179"/>
      <c r="L59" s="179" t="s">
        <v>597</v>
      </c>
      <c r="M59" s="199"/>
      <c r="N59" s="162" t="s">
        <v>1746</v>
      </c>
    </row>
    <row r="60" spans="1:14" ht="15" customHeight="1">
      <c r="A60" s="63" t="s">
        <v>2463</v>
      </c>
      <c r="B60" s="179" t="s">
        <v>2464</v>
      </c>
      <c r="C60" s="180" t="s">
        <v>595</v>
      </c>
      <c r="D60" s="182" t="s">
        <v>1727</v>
      </c>
      <c r="E60" s="179"/>
      <c r="F60" s="179" t="s">
        <v>597</v>
      </c>
      <c r="G60" s="179" t="s">
        <v>597</v>
      </c>
      <c r="H60" s="179"/>
      <c r="I60" s="179"/>
      <c r="J60" s="179"/>
      <c r="K60" s="179"/>
      <c r="L60" s="183"/>
      <c r="M60" s="210"/>
      <c r="N60" s="162" t="s">
        <v>1747</v>
      </c>
    </row>
    <row r="61" spans="1:14" ht="15" customHeight="1">
      <c r="A61" s="63" t="s">
        <v>2465</v>
      </c>
      <c r="B61" s="179" t="s">
        <v>2466</v>
      </c>
      <c r="C61" s="180" t="s">
        <v>595</v>
      </c>
      <c r="D61" s="182" t="s">
        <v>1719</v>
      </c>
      <c r="E61" s="179"/>
      <c r="F61" s="179"/>
      <c r="G61" s="179" t="s">
        <v>597</v>
      </c>
      <c r="H61" s="179" t="s">
        <v>597</v>
      </c>
      <c r="I61" s="179"/>
      <c r="J61" s="179"/>
      <c r="K61" s="179"/>
      <c r="L61" s="183"/>
      <c r="M61" s="210"/>
      <c r="N61" s="162" t="s">
        <v>1748</v>
      </c>
    </row>
    <row r="62" spans="1:14" ht="15" customHeight="1" thickBot="1">
      <c r="A62" s="63" t="s">
        <v>2467</v>
      </c>
      <c r="B62" s="188" t="s">
        <v>2468</v>
      </c>
      <c r="C62" s="189" t="s">
        <v>595</v>
      </c>
      <c r="D62" s="224" t="s">
        <v>1717</v>
      </c>
      <c r="E62" s="196"/>
      <c r="F62" s="196"/>
      <c r="G62" s="196"/>
      <c r="H62" s="196"/>
      <c r="I62"/>
      <c r="J62" s="196"/>
      <c r="K62" s="179" t="s">
        <v>597</v>
      </c>
      <c r="L62" s="179" t="s">
        <v>597</v>
      </c>
      <c r="M62" s="222"/>
      <c r="N62" s="164" t="s">
        <v>1749</v>
      </c>
    </row>
    <row r="63" spans="1:14" ht="15" customHeight="1" thickTop="1">
      <c r="A63" s="63" t="s">
        <v>2469</v>
      </c>
      <c r="B63" s="185" t="s">
        <v>2470</v>
      </c>
      <c r="C63" s="186" t="s">
        <v>596</v>
      </c>
      <c r="D63" s="182" t="s">
        <v>1717</v>
      </c>
      <c r="E63" s="317"/>
      <c r="F63" s="179" t="s">
        <v>597</v>
      </c>
      <c r="G63" s="317"/>
      <c r="H63" s="317"/>
      <c r="I63" s="317"/>
      <c r="J63" s="317"/>
      <c r="K63" s="179" t="s">
        <v>597</v>
      </c>
      <c r="L63" s="179"/>
      <c r="M63" s="199"/>
      <c r="N63" s="163" t="s">
        <v>1750</v>
      </c>
    </row>
    <row r="64" spans="1:14" ht="15" customHeight="1">
      <c r="A64" s="63" t="s">
        <v>2471</v>
      </c>
      <c r="B64" s="185" t="s">
        <v>2472</v>
      </c>
      <c r="C64" s="186" t="s">
        <v>596</v>
      </c>
      <c r="D64" s="182" t="s">
        <v>1716</v>
      </c>
      <c r="E64" s="179"/>
      <c r="F64" s="179"/>
      <c r="G64" s="179" t="s">
        <v>597</v>
      </c>
      <c r="H64" s="179" t="s">
        <v>597</v>
      </c>
      <c r="I64" s="179"/>
      <c r="J64" s="179"/>
      <c r="K64" s="179"/>
      <c r="L64" s="183"/>
      <c r="M64" s="199"/>
      <c r="N64" s="163" t="s">
        <v>1751</v>
      </c>
    </row>
    <row r="65" spans="1:14" ht="15" customHeight="1">
      <c r="A65" s="324"/>
      <c r="B65" s="324"/>
      <c r="C65" s="324"/>
      <c r="D65" s="324"/>
      <c r="E65" s="324"/>
      <c r="F65" s="324"/>
      <c r="G65" s="324"/>
      <c r="H65" s="324"/>
      <c r="I65" s="324"/>
      <c r="J65" s="324"/>
      <c r="K65" s="324"/>
      <c r="L65" s="324"/>
      <c r="M65" s="324"/>
      <c r="N65" s="324"/>
    </row>
    <row r="66" spans="1:14" ht="15" customHeight="1">
      <c r="B66" s="19">
        <v>13</v>
      </c>
    </row>
    <row r="67" spans="1:14" ht="15" customHeight="1"/>
    <row r="68" spans="1:14" ht="15" customHeight="1" thickBot="1">
      <c r="A68" s="36" t="s">
        <v>435</v>
      </c>
      <c r="B68" s="61" t="s">
        <v>497</v>
      </c>
      <c r="C68" s="62"/>
      <c r="D68" s="36" t="s">
        <v>436</v>
      </c>
      <c r="E68" s="39" t="s">
        <v>437</v>
      </c>
      <c r="F68" s="62"/>
      <c r="G68" s="41" t="s">
        <v>455</v>
      </c>
      <c r="H68" s="61" t="s">
        <v>1756</v>
      </c>
      <c r="I68" s="62"/>
      <c r="J68" s="41" t="s">
        <v>456</v>
      </c>
      <c r="K68" s="61" t="s">
        <v>1758</v>
      </c>
      <c r="L68" s="62"/>
      <c r="M68" s="62"/>
      <c r="N68" s="36" t="s">
        <v>435</v>
      </c>
    </row>
    <row r="69" spans="1:14" ht="15" customHeight="1" thickTop="1">
      <c r="A69" s="42" t="s">
        <v>439</v>
      </c>
      <c r="B69" s="43" t="s">
        <v>458</v>
      </c>
      <c r="C69" s="44" t="s">
        <v>459</v>
      </c>
      <c r="D69" s="45" t="s">
        <v>440</v>
      </c>
      <c r="E69" s="46" t="s">
        <v>461</v>
      </c>
      <c r="F69" s="46" t="s">
        <v>462</v>
      </c>
      <c r="G69" s="46" t="s">
        <v>463</v>
      </c>
      <c r="H69" s="46" t="s">
        <v>441</v>
      </c>
      <c r="I69" s="46" t="s">
        <v>467</v>
      </c>
      <c r="J69" s="46" t="s">
        <v>466</v>
      </c>
      <c r="K69" s="46" t="s">
        <v>470</v>
      </c>
      <c r="L69" s="46" t="s">
        <v>468</v>
      </c>
      <c r="M69" s="47" t="s">
        <v>442</v>
      </c>
      <c r="N69" s="42" t="s">
        <v>439</v>
      </c>
    </row>
    <row r="70" spans="1:14" ht="15" customHeight="1">
      <c r="A70" s="63" t="s">
        <v>2475</v>
      </c>
      <c r="B70" s="185" t="s">
        <v>2476</v>
      </c>
      <c r="C70" s="186" t="s">
        <v>596</v>
      </c>
      <c r="D70" s="182" t="s">
        <v>1727</v>
      </c>
      <c r="E70" s="179"/>
      <c r="F70" s="179"/>
      <c r="G70" s="179"/>
      <c r="H70" s="179"/>
      <c r="I70" s="179"/>
      <c r="J70" s="179" t="s">
        <v>597</v>
      </c>
      <c r="K70" s="179"/>
      <c r="L70" s="179" t="s">
        <v>597</v>
      </c>
      <c r="M70" s="210"/>
      <c r="N70" s="163" t="s">
        <v>1752</v>
      </c>
    </row>
    <row r="71" spans="1:14" ht="15" customHeight="1">
      <c r="A71" s="63" t="s">
        <v>2477</v>
      </c>
      <c r="B71" s="179" t="s">
        <v>2478</v>
      </c>
      <c r="C71" s="180" t="s">
        <v>596</v>
      </c>
      <c r="D71" s="182" t="s">
        <v>1718</v>
      </c>
      <c r="E71" s="179" t="s">
        <v>597</v>
      </c>
      <c r="F71" s="179"/>
      <c r="G71" s="179"/>
      <c r="H71" s="179"/>
      <c r="I71" s="179"/>
      <c r="J71" s="179"/>
      <c r="K71" s="179" t="s">
        <v>597</v>
      </c>
      <c r="L71" s="183"/>
      <c r="M71" s="210"/>
      <c r="N71" s="162" t="s">
        <v>1753</v>
      </c>
    </row>
    <row r="72" spans="1:14" ht="15" customHeight="1">
      <c r="A72" s="63" t="s">
        <v>2479</v>
      </c>
      <c r="B72" s="179" t="s">
        <v>2480</v>
      </c>
      <c r="C72" s="180" t="s">
        <v>596</v>
      </c>
      <c r="D72" s="182" t="s">
        <v>1725</v>
      </c>
      <c r="E72" s="179"/>
      <c r="F72" s="179"/>
      <c r="G72" s="179"/>
      <c r="H72" s="179"/>
      <c r="I72" s="179" t="s">
        <v>597</v>
      </c>
      <c r="J72" s="179" t="s">
        <v>597</v>
      </c>
      <c r="K72" s="179"/>
      <c r="L72"/>
      <c r="M72" s="210"/>
      <c r="N72" s="162" t="s">
        <v>1754</v>
      </c>
    </row>
    <row r="73" spans="1:14" ht="15" customHeight="1" thickBot="1">
      <c r="A73" s="63" t="s">
        <v>2481</v>
      </c>
      <c r="B73" s="188" t="s">
        <v>2482</v>
      </c>
      <c r="C73" s="189" t="s">
        <v>596</v>
      </c>
      <c r="D73" s="182" t="s">
        <v>1716</v>
      </c>
      <c r="E73" s="179" t="s">
        <v>597</v>
      </c>
      <c r="F73" s="188"/>
      <c r="G73" s="188"/>
      <c r="H73" s="188"/>
      <c r="I73" s="179" t="s">
        <v>597</v>
      </c>
      <c r="J73" s="188"/>
      <c r="K73" s="188"/>
      <c r="L73" s="179"/>
      <c r="M73" s="212"/>
      <c r="N73" s="164" t="s">
        <v>1755</v>
      </c>
    </row>
    <row r="74" spans="1:14" ht="15" customHeight="1" thickTop="1">
      <c r="A74" s="63" t="s">
        <v>2483</v>
      </c>
      <c r="B74" s="71"/>
      <c r="C74" s="72"/>
      <c r="D74" s="66"/>
      <c r="E74" s="73"/>
      <c r="F74" s="73"/>
      <c r="G74" s="73"/>
      <c r="H74" s="73"/>
      <c r="I74" s="73"/>
      <c r="J74" s="68"/>
      <c r="K74" s="73"/>
      <c r="L74" s="68"/>
      <c r="M74" s="69"/>
      <c r="N74" s="63"/>
    </row>
    <row r="75" spans="1:14" ht="15" customHeight="1">
      <c r="A75" s="63" t="s">
        <v>2483</v>
      </c>
      <c r="B75" s="64"/>
      <c r="C75" s="65"/>
      <c r="D75" s="66"/>
      <c r="E75" s="68"/>
      <c r="F75" s="67"/>
      <c r="G75" s="62"/>
      <c r="H75" s="68"/>
      <c r="I75" s="67"/>
      <c r="J75" s="67"/>
      <c r="K75" s="67"/>
      <c r="L75" s="67"/>
      <c r="M75" s="69"/>
      <c r="N75" s="63"/>
    </row>
    <row r="76" spans="1:14" ht="15" customHeight="1">
      <c r="A76" s="63" t="s">
        <v>2483</v>
      </c>
      <c r="B76" s="64"/>
      <c r="C76" s="65"/>
      <c r="D76" s="66"/>
      <c r="E76" s="67"/>
      <c r="F76" s="67"/>
      <c r="G76" s="68"/>
      <c r="H76" s="67"/>
      <c r="I76" s="68"/>
      <c r="J76" s="67"/>
      <c r="K76" s="67"/>
      <c r="L76" s="67"/>
      <c r="M76" s="69"/>
      <c r="N76" s="63"/>
    </row>
    <row r="77" spans="1:14" ht="15" customHeight="1" thickBot="1">
      <c r="A77" s="63" t="s">
        <v>2483</v>
      </c>
      <c r="B77" s="74"/>
      <c r="C77" s="70"/>
      <c r="D77" s="66"/>
      <c r="E77" s="75"/>
      <c r="F77" s="68"/>
      <c r="G77" s="75"/>
      <c r="H77" s="75"/>
      <c r="I77" s="62"/>
      <c r="J77" s="75"/>
      <c r="K77" s="68"/>
      <c r="L77" s="75"/>
      <c r="M77" s="76"/>
      <c r="N77" s="63"/>
    </row>
    <row r="78" spans="1:14" ht="15" customHeight="1" thickTop="1"/>
    <row r="79" spans="1:14" ht="15" customHeight="1">
      <c r="B79" s="19">
        <v>21</v>
      </c>
    </row>
    <row r="80" spans="1:14" ht="15" customHeight="1"/>
    <row r="81" spans="1:14" ht="15" customHeight="1" thickBot="1">
      <c r="A81" s="36" t="s">
        <v>435</v>
      </c>
      <c r="B81" s="61" t="s">
        <v>400</v>
      </c>
      <c r="C81" s="62"/>
      <c r="D81" s="36" t="s">
        <v>436</v>
      </c>
      <c r="E81" s="39" t="s">
        <v>437</v>
      </c>
      <c r="F81" s="62"/>
      <c r="G81" s="41" t="s">
        <v>455</v>
      </c>
      <c r="H81" s="166" t="s">
        <v>1766</v>
      </c>
      <c r="I81" s="62"/>
      <c r="J81" s="41" t="s">
        <v>456</v>
      </c>
      <c r="K81" s="166" t="s">
        <v>1767</v>
      </c>
      <c r="L81" s="62"/>
      <c r="M81" s="62"/>
      <c r="N81" s="36" t="s">
        <v>435</v>
      </c>
    </row>
    <row r="82" spans="1:14" ht="15" customHeight="1" thickTop="1">
      <c r="A82" s="42" t="s">
        <v>439</v>
      </c>
      <c r="B82" s="43" t="s">
        <v>458</v>
      </c>
      <c r="C82" s="44" t="s">
        <v>459</v>
      </c>
      <c r="D82" s="45" t="s">
        <v>440</v>
      </c>
      <c r="E82" s="46" t="s">
        <v>461</v>
      </c>
      <c r="F82" s="46" t="s">
        <v>462</v>
      </c>
      <c r="G82" s="46" t="s">
        <v>463</v>
      </c>
      <c r="H82" s="46" t="s">
        <v>441</v>
      </c>
      <c r="I82" s="46" t="s">
        <v>467</v>
      </c>
      <c r="J82" s="46" t="s">
        <v>466</v>
      </c>
      <c r="K82" s="46" t="s">
        <v>470</v>
      </c>
      <c r="L82" s="46" t="s">
        <v>468</v>
      </c>
      <c r="M82" s="47" t="s">
        <v>442</v>
      </c>
      <c r="N82" s="42" t="s">
        <v>439</v>
      </c>
    </row>
    <row r="83" spans="1:14" ht="15" customHeight="1">
      <c r="A83" s="63" t="s">
        <v>2488</v>
      </c>
      <c r="B83" s="179" t="s">
        <v>2490</v>
      </c>
      <c r="C83" s="180" t="s">
        <v>595</v>
      </c>
      <c r="D83" s="182" t="s">
        <v>640</v>
      </c>
      <c r="E83" s="179"/>
      <c r="F83" s="179"/>
      <c r="G83" s="179"/>
      <c r="H83" s="179"/>
      <c r="I83" s="179"/>
      <c r="J83" s="179" t="s">
        <v>597</v>
      </c>
      <c r="K83" s="179"/>
      <c r="L83" s="183" t="s">
        <v>597</v>
      </c>
      <c r="M83" s="179"/>
      <c r="N83" s="162" t="s">
        <v>1759</v>
      </c>
    </row>
    <row r="84" spans="1:14" ht="15" customHeight="1">
      <c r="A84" s="63" t="s">
        <v>2492</v>
      </c>
      <c r="B84" s="179" t="s">
        <v>2494</v>
      </c>
      <c r="C84" s="180" t="s">
        <v>595</v>
      </c>
      <c r="D84" s="182" t="s">
        <v>640</v>
      </c>
      <c r="E84" s="179"/>
      <c r="F84" s="179"/>
      <c r="G84" s="179" t="s">
        <v>597</v>
      </c>
      <c r="H84" s="179"/>
      <c r="I84" s="179" t="s">
        <v>597</v>
      </c>
      <c r="J84" s="179"/>
      <c r="K84" s="179"/>
      <c r="L84" s="183"/>
      <c r="M84" s="179"/>
      <c r="N84" s="162" t="s">
        <v>644</v>
      </c>
    </row>
    <row r="85" spans="1:14" ht="15" customHeight="1">
      <c r="A85" s="63" t="s">
        <v>2496</v>
      </c>
      <c r="B85" s="179" t="s">
        <v>2498</v>
      </c>
      <c r="C85" s="180" t="s">
        <v>595</v>
      </c>
      <c r="D85" s="182" t="s">
        <v>640</v>
      </c>
      <c r="E85" s="179"/>
      <c r="F85" s="179"/>
      <c r="G85" s="179"/>
      <c r="H85" s="179" t="s">
        <v>597</v>
      </c>
      <c r="I85" s="179"/>
      <c r="J85" s="179" t="s">
        <v>597</v>
      </c>
      <c r="K85" s="179"/>
      <c r="L85" s="183"/>
      <c r="M85" s="181"/>
      <c r="N85" s="162" t="s">
        <v>645</v>
      </c>
    </row>
    <row r="86" spans="1:14" ht="15" customHeight="1">
      <c r="A86" s="63" t="s">
        <v>2500</v>
      </c>
      <c r="B86" s="179" t="s">
        <v>2502</v>
      </c>
      <c r="C86" s="180" t="s">
        <v>595</v>
      </c>
      <c r="D86" s="182" t="s">
        <v>642</v>
      </c>
      <c r="E86" s="179" t="s">
        <v>597</v>
      </c>
      <c r="F86" s="179"/>
      <c r="G86" s="179"/>
      <c r="H86" s="179"/>
      <c r="I86" s="179"/>
      <c r="J86" s="179"/>
      <c r="K86" s="179"/>
      <c r="L86" s="183"/>
      <c r="M86" s="181"/>
      <c r="N86" s="162" t="s">
        <v>1760</v>
      </c>
    </row>
    <row r="87" spans="1:14" ht="15" customHeight="1">
      <c r="A87" s="63" t="s">
        <v>2504</v>
      </c>
      <c r="B87" s="179" t="s">
        <v>2506</v>
      </c>
      <c r="C87" s="180" t="s">
        <v>595</v>
      </c>
      <c r="D87" s="182" t="s">
        <v>640</v>
      </c>
      <c r="E87" s="179"/>
      <c r="F87" s="179" t="s">
        <v>597</v>
      </c>
      <c r="G87" s="179"/>
      <c r="H87" s="179"/>
      <c r="I87" s="179"/>
      <c r="J87" s="179"/>
      <c r="K87" s="179"/>
      <c r="L87" s="183"/>
      <c r="M87" s="181"/>
      <c r="N87" s="162" t="s">
        <v>643</v>
      </c>
    </row>
    <row r="88" spans="1:14" ht="15" customHeight="1" thickBot="1">
      <c r="A88" s="63" t="s">
        <v>2508</v>
      </c>
      <c r="B88" s="188" t="s">
        <v>2510</v>
      </c>
      <c r="C88" s="189" t="s">
        <v>595</v>
      </c>
      <c r="D88" s="182" t="s">
        <v>640</v>
      </c>
      <c r="E88" s="196"/>
      <c r="F88" s="196"/>
      <c r="G88" s="196"/>
      <c r="H88" s="196"/>
      <c r="I88" s="196" t="s">
        <v>597</v>
      </c>
      <c r="J88" s="196"/>
      <c r="K88" s="196"/>
      <c r="L88" s="197" t="s">
        <v>597</v>
      </c>
      <c r="M88" s="181"/>
      <c r="N88" s="164" t="s">
        <v>1761</v>
      </c>
    </row>
    <row r="89" spans="1:14" ht="15" customHeight="1" thickTop="1">
      <c r="A89" s="63" t="s">
        <v>2512</v>
      </c>
      <c r="B89" s="185" t="s">
        <v>2514</v>
      </c>
      <c r="C89" s="186" t="s">
        <v>596</v>
      </c>
      <c r="D89" s="182" t="s">
        <v>642</v>
      </c>
      <c r="E89" s="179" t="s">
        <v>597</v>
      </c>
      <c r="F89" s="179" t="s">
        <v>597</v>
      </c>
      <c r="G89" s="179"/>
      <c r="H89" s="179"/>
      <c r="I89" s="179"/>
      <c r="J89" s="179"/>
      <c r="K89" s="179"/>
      <c r="L89" s="183"/>
      <c r="M89" s="181"/>
      <c r="N89" s="163" t="s">
        <v>648</v>
      </c>
    </row>
    <row r="90" spans="1:14" ht="15" customHeight="1">
      <c r="A90" s="63" t="s">
        <v>2516</v>
      </c>
      <c r="B90" s="185" t="s">
        <v>2518</v>
      </c>
      <c r="C90" s="186" t="s">
        <v>596</v>
      </c>
      <c r="D90" s="182" t="s">
        <v>642</v>
      </c>
      <c r="E90" s="179"/>
      <c r="F90" s="179" t="s">
        <v>597</v>
      </c>
      <c r="G90" s="179"/>
      <c r="H90" s="179"/>
      <c r="I90" s="179"/>
      <c r="J90" s="179"/>
      <c r="K90" s="197" t="s">
        <v>597</v>
      </c>
      <c r="L90" s="183"/>
      <c r="M90" s="181"/>
      <c r="N90" s="163" t="s">
        <v>1762</v>
      </c>
    </row>
    <row r="91" spans="1:14" ht="15" customHeight="1"/>
    <row r="92" spans="1:14" ht="15" customHeight="1">
      <c r="B92" s="19">
        <v>21</v>
      </c>
    </row>
    <row r="93" spans="1:14" ht="15" customHeight="1"/>
    <row r="94" spans="1:14" ht="15" customHeight="1" thickBot="1">
      <c r="A94" s="36" t="s">
        <v>435</v>
      </c>
      <c r="B94" s="61" t="s">
        <v>400</v>
      </c>
      <c r="C94" s="62"/>
      <c r="D94" s="36" t="s">
        <v>436</v>
      </c>
      <c r="E94" s="39" t="s">
        <v>437</v>
      </c>
      <c r="F94" s="62"/>
      <c r="G94" s="41" t="s">
        <v>455</v>
      </c>
      <c r="H94" s="166" t="s">
        <v>1766</v>
      </c>
      <c r="I94" s="62"/>
      <c r="J94" s="41" t="s">
        <v>456</v>
      </c>
      <c r="K94" s="166" t="s">
        <v>1768</v>
      </c>
      <c r="L94" s="62"/>
      <c r="M94" s="62"/>
      <c r="N94" s="36" t="s">
        <v>435</v>
      </c>
    </row>
    <row r="95" spans="1:14" ht="15" customHeight="1" thickTop="1">
      <c r="A95" s="42" t="s">
        <v>439</v>
      </c>
      <c r="B95" s="43" t="s">
        <v>458</v>
      </c>
      <c r="C95" s="44" t="s">
        <v>459</v>
      </c>
      <c r="D95" s="45" t="s">
        <v>440</v>
      </c>
      <c r="E95" s="46" t="s">
        <v>461</v>
      </c>
      <c r="F95" s="46" t="s">
        <v>462</v>
      </c>
      <c r="G95" s="46" t="s">
        <v>463</v>
      </c>
      <c r="H95" s="46" t="s">
        <v>441</v>
      </c>
      <c r="I95" s="46" t="s">
        <v>467</v>
      </c>
      <c r="J95" s="46" t="s">
        <v>466</v>
      </c>
      <c r="K95" s="46" t="s">
        <v>470</v>
      </c>
      <c r="L95" s="46" t="s">
        <v>468</v>
      </c>
      <c r="M95" s="47" t="s">
        <v>442</v>
      </c>
      <c r="N95" s="42" t="s">
        <v>439</v>
      </c>
    </row>
    <row r="96" spans="1:14" ht="15" customHeight="1">
      <c r="A96" s="63" t="s">
        <v>2522</v>
      </c>
      <c r="B96" s="185" t="s">
        <v>2524</v>
      </c>
      <c r="C96" s="186" t="s">
        <v>596</v>
      </c>
      <c r="D96" s="182" t="s">
        <v>649</v>
      </c>
      <c r="E96" s="179"/>
      <c r="F96" s="179"/>
      <c r="G96" s="179"/>
      <c r="H96" s="179"/>
      <c r="I96" s="179"/>
      <c r="J96" s="179"/>
      <c r="K96" s="179" t="s">
        <v>597</v>
      </c>
      <c r="L96" s="183"/>
      <c r="M96" s="179"/>
      <c r="N96" s="163" t="s">
        <v>646</v>
      </c>
    </row>
    <row r="97" spans="1:14" ht="15" customHeight="1">
      <c r="A97" s="63" t="s">
        <v>2526</v>
      </c>
      <c r="B97" s="179" t="s">
        <v>2527</v>
      </c>
      <c r="C97" s="180" t="s">
        <v>596</v>
      </c>
      <c r="D97" s="182" t="s">
        <v>641</v>
      </c>
      <c r="E97" s="179"/>
      <c r="F97" s="179"/>
      <c r="G97" s="179" t="s">
        <v>597</v>
      </c>
      <c r="H97" s="179"/>
      <c r="I97" s="179"/>
      <c r="J97" s="179" t="s">
        <v>597</v>
      </c>
      <c r="K97" s="179"/>
      <c r="L97" s="183"/>
      <c r="M97" s="181"/>
      <c r="N97" s="162" t="s">
        <v>1763</v>
      </c>
    </row>
    <row r="98" spans="1:14" ht="15" customHeight="1">
      <c r="A98" s="63" t="s">
        <v>2528</v>
      </c>
      <c r="B98" s="179" t="s">
        <v>2530</v>
      </c>
      <c r="C98" s="180" t="s">
        <v>596</v>
      </c>
      <c r="D98" s="182" t="s">
        <v>642</v>
      </c>
      <c r="E98" s="179" t="s">
        <v>597</v>
      </c>
      <c r="F98" s="179"/>
      <c r="G98" s="179"/>
      <c r="H98" s="179"/>
      <c r="I98" s="179" t="s">
        <v>597</v>
      </c>
      <c r="J98" s="179"/>
      <c r="K98" s="179"/>
      <c r="L98" s="179"/>
      <c r="M98" s="179"/>
      <c r="N98" s="181" t="s">
        <v>1764</v>
      </c>
    </row>
    <row r="99" spans="1:14" ht="15" customHeight="1" thickBot="1">
      <c r="A99" s="63" t="s">
        <v>2531</v>
      </c>
      <c r="B99" s="188" t="s">
        <v>2533</v>
      </c>
      <c r="C99" s="189" t="s">
        <v>596</v>
      </c>
      <c r="D99" s="182" t="s">
        <v>640</v>
      </c>
      <c r="E99" s="188"/>
      <c r="F99" s="188"/>
      <c r="G99" s="188" t="s">
        <v>597</v>
      </c>
      <c r="H99" s="188" t="s">
        <v>597</v>
      </c>
      <c r="I99" s="188"/>
      <c r="J99" s="188"/>
      <c r="K99" s="188"/>
      <c r="L99" s="205"/>
      <c r="M99" s="194"/>
      <c r="N99" s="194" t="s">
        <v>1765</v>
      </c>
    </row>
    <row r="100" spans="1:14" ht="15" customHeight="1" thickTop="1">
      <c r="A100" s="63" t="s">
        <v>2535</v>
      </c>
      <c r="B100" s="71"/>
      <c r="C100" s="72"/>
      <c r="D100" s="66"/>
      <c r="E100" s="73"/>
      <c r="F100" s="73"/>
      <c r="G100" s="73"/>
      <c r="H100" s="73"/>
      <c r="I100" s="73"/>
      <c r="J100" s="68"/>
      <c r="K100" s="73"/>
      <c r="L100" s="68"/>
      <c r="M100" s="69"/>
      <c r="N100" s="63"/>
    </row>
    <row r="101" spans="1:14" ht="15" customHeight="1">
      <c r="A101" s="63" t="s">
        <v>2535</v>
      </c>
      <c r="B101" s="64"/>
      <c r="C101" s="65"/>
      <c r="D101" s="66"/>
      <c r="E101" s="68"/>
      <c r="F101" s="67"/>
      <c r="G101" s="62"/>
      <c r="H101" s="68"/>
      <c r="I101" s="67"/>
      <c r="J101" s="67"/>
      <c r="K101" s="67"/>
      <c r="L101" s="67"/>
      <c r="M101" s="69"/>
      <c r="N101" s="63"/>
    </row>
    <row r="102" spans="1:14" ht="15" customHeight="1">
      <c r="A102" s="63" t="s">
        <v>2535</v>
      </c>
      <c r="B102" s="64"/>
      <c r="C102" s="65"/>
      <c r="D102" s="66"/>
      <c r="E102" s="67"/>
      <c r="F102" s="67"/>
      <c r="G102" s="68"/>
      <c r="H102" s="67"/>
      <c r="I102" s="68"/>
      <c r="J102" s="67"/>
      <c r="K102" s="67"/>
      <c r="L102" s="67"/>
      <c r="M102" s="69"/>
      <c r="N102" s="63"/>
    </row>
    <row r="103" spans="1:14" ht="15" customHeight="1" thickBot="1">
      <c r="A103" s="63" t="s">
        <v>2535</v>
      </c>
      <c r="B103" s="74"/>
      <c r="C103" s="70"/>
      <c r="D103" s="66"/>
      <c r="E103" s="75"/>
      <c r="F103" s="68"/>
      <c r="G103" s="75"/>
      <c r="H103" s="75"/>
      <c r="I103" s="62"/>
      <c r="J103" s="75"/>
      <c r="K103" s="68"/>
      <c r="L103" s="75"/>
      <c r="M103" s="76"/>
      <c r="N103" s="63"/>
    </row>
    <row r="104" spans="1:14" ht="15" customHeight="1" thickTop="1"/>
    <row r="105" spans="1:14" ht="15" customHeight="1">
      <c r="B105" s="19">
        <v>22</v>
      </c>
    </row>
    <row r="106" spans="1:14" ht="15" customHeight="1"/>
    <row r="107" spans="1:14" ht="15" customHeight="1" thickBot="1">
      <c r="A107" s="36" t="s">
        <v>435</v>
      </c>
      <c r="B107" s="61" t="s">
        <v>417</v>
      </c>
      <c r="C107" s="62"/>
      <c r="D107" s="36" t="s">
        <v>436</v>
      </c>
      <c r="E107" s="39" t="s">
        <v>437</v>
      </c>
      <c r="F107" s="62"/>
      <c r="G107" s="41" t="s">
        <v>455</v>
      </c>
      <c r="H107" s="166" t="s">
        <v>1766</v>
      </c>
      <c r="I107" s="62"/>
      <c r="J107" s="41" t="s">
        <v>456</v>
      </c>
      <c r="K107" s="166" t="s">
        <v>1781</v>
      </c>
      <c r="L107" s="62"/>
      <c r="M107" s="62"/>
      <c r="N107" s="36" t="s">
        <v>435</v>
      </c>
    </row>
    <row r="108" spans="1:14" ht="15" customHeight="1" thickTop="1">
      <c r="A108" s="42" t="s">
        <v>439</v>
      </c>
      <c r="B108" s="43" t="s">
        <v>458</v>
      </c>
      <c r="C108" s="44" t="s">
        <v>459</v>
      </c>
      <c r="D108" s="45" t="s">
        <v>440</v>
      </c>
      <c r="E108" s="46" t="s">
        <v>461</v>
      </c>
      <c r="F108" s="46" t="s">
        <v>462</v>
      </c>
      <c r="G108" s="46" t="s">
        <v>463</v>
      </c>
      <c r="H108" s="46" t="s">
        <v>441</v>
      </c>
      <c r="I108" s="46" t="s">
        <v>467</v>
      </c>
      <c r="J108" s="46" t="s">
        <v>466</v>
      </c>
      <c r="K108" s="46" t="s">
        <v>470</v>
      </c>
      <c r="L108" s="46" t="s">
        <v>468</v>
      </c>
      <c r="M108" s="47" t="s">
        <v>442</v>
      </c>
      <c r="N108" s="42" t="s">
        <v>439</v>
      </c>
    </row>
    <row r="109" spans="1:14" ht="15" customHeight="1" thickBot="1">
      <c r="A109" s="63" t="s">
        <v>2540</v>
      </c>
      <c r="B109" s="179" t="s">
        <v>2542</v>
      </c>
      <c r="C109" s="180" t="s">
        <v>595</v>
      </c>
      <c r="D109" s="182" t="s">
        <v>649</v>
      </c>
      <c r="E109" s="179"/>
      <c r="F109" s="179"/>
      <c r="G109" s="179"/>
      <c r="H109" s="188" t="s">
        <v>597</v>
      </c>
      <c r="I109" s="179"/>
      <c r="J109" s="179"/>
      <c r="K109" s="188" t="s">
        <v>597</v>
      </c>
      <c r="L109" s="183"/>
      <c r="M109" s="181"/>
      <c r="N109" s="162" t="s">
        <v>1769</v>
      </c>
    </row>
    <row r="110" spans="1:14" ht="15" customHeight="1" thickTop="1">
      <c r="A110" s="63" t="s">
        <v>2544</v>
      </c>
      <c r="B110" s="179" t="s">
        <v>2546</v>
      </c>
      <c r="C110" s="180" t="s">
        <v>595</v>
      </c>
      <c r="D110" s="182" t="s">
        <v>649</v>
      </c>
      <c r="E110" s="179"/>
      <c r="F110" s="179" t="s">
        <v>597</v>
      </c>
      <c r="G110" s="179"/>
      <c r="H110" s="179" t="s">
        <v>597</v>
      </c>
      <c r="I110" s="179"/>
      <c r="J110" s="179"/>
      <c r="K110" s="179"/>
      <c r="L110" s="183"/>
      <c r="M110" s="181"/>
      <c r="N110" s="162" t="s">
        <v>1770</v>
      </c>
    </row>
    <row r="111" spans="1:14" ht="15" customHeight="1">
      <c r="A111" s="63" t="s">
        <v>2548</v>
      </c>
      <c r="B111" s="179" t="s">
        <v>2550</v>
      </c>
      <c r="C111" s="180" t="s">
        <v>595</v>
      </c>
      <c r="D111" s="182" t="s">
        <v>649</v>
      </c>
      <c r="E111" s="179" t="s">
        <v>597</v>
      </c>
      <c r="F111" s="179"/>
      <c r="G111" s="179"/>
      <c r="H111" s="179"/>
      <c r="I111" s="179"/>
      <c r="J111" s="179"/>
      <c r="K111" s="179" t="s">
        <v>597</v>
      </c>
      <c r="L111" s="183"/>
      <c r="M111" s="181"/>
      <c r="N111" s="181" t="s">
        <v>1771</v>
      </c>
    </row>
    <row r="112" spans="1:14" ht="15" customHeight="1">
      <c r="A112" s="63" t="s">
        <v>2552</v>
      </c>
      <c r="B112" s="179" t="s">
        <v>2554</v>
      </c>
      <c r="C112" s="180" t="s">
        <v>595</v>
      </c>
      <c r="D112" s="182" t="s">
        <v>649</v>
      </c>
      <c r="E112" s="179"/>
      <c r="F112" s="179"/>
      <c r="G112" s="179"/>
      <c r="H112" s="179"/>
      <c r="I112" s="179" t="s">
        <v>597</v>
      </c>
      <c r="J112" s="179"/>
      <c r="K112" s="179"/>
      <c r="L112" s="179" t="s">
        <v>597</v>
      </c>
      <c r="M112" s="181"/>
      <c r="N112" s="162" t="s">
        <v>1772</v>
      </c>
    </row>
    <row r="113" spans="1:14" ht="15" customHeight="1">
      <c r="A113" s="63" t="s">
        <v>2556</v>
      </c>
      <c r="B113" s="179" t="s">
        <v>2558</v>
      </c>
      <c r="C113" s="180" t="s">
        <v>595</v>
      </c>
      <c r="D113" s="182" t="s">
        <v>650</v>
      </c>
      <c r="E113" s="179"/>
      <c r="F113" s="179"/>
      <c r="G113" s="179"/>
      <c r="H113" s="179"/>
      <c r="I113" s="179"/>
      <c r="J113" s="179" t="s">
        <v>597</v>
      </c>
      <c r="K113" s="179"/>
      <c r="L113" s="183"/>
      <c r="M113" s="181"/>
      <c r="N113" s="181" t="s">
        <v>1773</v>
      </c>
    </row>
    <row r="114" spans="1:14" ht="15" customHeight="1" thickBot="1">
      <c r="A114" s="63" t="s">
        <v>2560</v>
      </c>
      <c r="B114" s="179" t="s">
        <v>2562</v>
      </c>
      <c r="C114" s="189" t="s">
        <v>595</v>
      </c>
      <c r="D114" s="224" t="s">
        <v>640</v>
      </c>
      <c r="E114" s="196"/>
      <c r="F114" s="196"/>
      <c r="G114" s="179" t="s">
        <v>597</v>
      </c>
      <c r="H114" s="196"/>
      <c r="I114" s="196"/>
      <c r="J114" s="196"/>
      <c r="K114" s="196"/>
      <c r="L114" s="197"/>
      <c r="M114" s="198"/>
      <c r="N114" s="162" t="s">
        <v>1774</v>
      </c>
    </row>
    <row r="115" spans="1:14" ht="15" customHeight="1" thickTop="1">
      <c r="A115" s="63" t="s">
        <v>2564</v>
      </c>
      <c r="B115" s="185" t="s">
        <v>2566</v>
      </c>
      <c r="C115" s="186" t="s">
        <v>596</v>
      </c>
      <c r="D115" s="182" t="s">
        <v>640</v>
      </c>
      <c r="E115" s="179"/>
      <c r="F115" s="179"/>
      <c r="G115" s="179"/>
      <c r="H115" s="179"/>
      <c r="I115" s="179"/>
      <c r="J115" s="179" t="s">
        <v>597</v>
      </c>
      <c r="K115" s="179"/>
      <c r="L115" s="179" t="s">
        <v>597</v>
      </c>
      <c r="M115" s="181"/>
      <c r="N115" s="163" t="s">
        <v>1775</v>
      </c>
    </row>
    <row r="116" spans="1:14" ht="15" customHeight="1">
      <c r="A116" s="63" t="s">
        <v>2568</v>
      </c>
      <c r="B116" s="185" t="s">
        <v>2570</v>
      </c>
      <c r="C116" s="186" t="s">
        <v>596</v>
      </c>
      <c r="D116" s="182" t="s">
        <v>640</v>
      </c>
      <c r="E116" s="179"/>
      <c r="F116" s="179" t="s">
        <v>597</v>
      </c>
      <c r="G116" s="179"/>
      <c r="H116" s="179"/>
      <c r="I116" s="179" t="s">
        <v>597</v>
      </c>
      <c r="J116" s="179"/>
      <c r="K116" s="179"/>
      <c r="L116" s="183"/>
      <c r="M116" s="181"/>
      <c r="N116" s="163" t="s">
        <v>1776</v>
      </c>
    </row>
    <row r="117" spans="1:14" ht="15" customHeight="1"/>
    <row r="118" spans="1:14" ht="15" customHeight="1">
      <c r="B118" s="19">
        <v>22</v>
      </c>
    </row>
    <row r="119" spans="1:14" ht="15" customHeight="1"/>
    <row r="120" spans="1:14" ht="15" customHeight="1" thickBot="1">
      <c r="A120" s="36" t="s">
        <v>435</v>
      </c>
      <c r="B120" s="61" t="s">
        <v>417</v>
      </c>
      <c r="C120" s="62"/>
      <c r="D120" s="36" t="s">
        <v>436</v>
      </c>
      <c r="E120" s="39" t="s">
        <v>437</v>
      </c>
      <c r="F120" s="62"/>
      <c r="G120" s="41" t="s">
        <v>455</v>
      </c>
      <c r="H120" s="166" t="s">
        <v>1766</v>
      </c>
      <c r="I120" s="62"/>
      <c r="J120" s="41" t="s">
        <v>456</v>
      </c>
      <c r="K120" s="166" t="s">
        <v>1781</v>
      </c>
      <c r="L120" s="62"/>
      <c r="M120" s="62"/>
      <c r="N120" s="36" t="s">
        <v>435</v>
      </c>
    </row>
    <row r="121" spans="1:14" ht="15" customHeight="1" thickTop="1">
      <c r="A121" s="42" t="s">
        <v>439</v>
      </c>
      <c r="B121" s="43" t="s">
        <v>458</v>
      </c>
      <c r="C121" s="44" t="s">
        <v>459</v>
      </c>
      <c r="D121" s="45" t="s">
        <v>440</v>
      </c>
      <c r="E121" s="46" t="s">
        <v>461</v>
      </c>
      <c r="F121" s="46" t="s">
        <v>462</v>
      </c>
      <c r="G121" s="46" t="s">
        <v>463</v>
      </c>
      <c r="H121" s="46" t="s">
        <v>441</v>
      </c>
      <c r="I121" s="46" t="s">
        <v>467</v>
      </c>
      <c r="J121" s="46" t="s">
        <v>466</v>
      </c>
      <c r="K121" s="46" t="s">
        <v>470</v>
      </c>
      <c r="L121" s="46" t="s">
        <v>468</v>
      </c>
      <c r="M121" s="47" t="s">
        <v>442</v>
      </c>
      <c r="N121" s="42" t="s">
        <v>439</v>
      </c>
    </row>
    <row r="122" spans="1:14" ht="15" customHeight="1">
      <c r="A122" s="63" t="s">
        <v>2574</v>
      </c>
      <c r="B122" s="185" t="s">
        <v>2576</v>
      </c>
      <c r="C122" s="186" t="s">
        <v>596</v>
      </c>
      <c r="D122" s="182" t="s">
        <v>640</v>
      </c>
      <c r="E122" s="179"/>
      <c r="F122" s="179"/>
      <c r="G122" s="179" t="s">
        <v>597</v>
      </c>
      <c r="H122" s="179" t="s">
        <v>597</v>
      </c>
      <c r="I122" s="179"/>
      <c r="J122" s="179"/>
      <c r="K122" s="179"/>
      <c r="L122" s="183"/>
      <c r="M122" s="181"/>
      <c r="N122" s="163" t="s">
        <v>1777</v>
      </c>
    </row>
    <row r="123" spans="1:14" ht="15" customHeight="1">
      <c r="A123" s="63" t="s">
        <v>2577</v>
      </c>
      <c r="B123" s="179" t="s">
        <v>2579</v>
      </c>
      <c r="C123" s="180" t="s">
        <v>596</v>
      </c>
      <c r="D123" s="182" t="s">
        <v>640</v>
      </c>
      <c r="E123" s="179"/>
      <c r="F123" s="179" t="s">
        <v>597</v>
      </c>
      <c r="G123" s="179"/>
      <c r="H123" s="179"/>
      <c r="I123" s="179" t="s">
        <v>597</v>
      </c>
      <c r="J123" s="179"/>
      <c r="K123" s="179"/>
      <c r="L123" s="183"/>
      <c r="M123" s="181"/>
      <c r="N123" s="162" t="s">
        <v>1778</v>
      </c>
    </row>
    <row r="124" spans="1:14" ht="15" customHeight="1">
      <c r="A124" s="63" t="s">
        <v>2580</v>
      </c>
      <c r="B124" s="179" t="s">
        <v>2582</v>
      </c>
      <c r="C124" s="180" t="s">
        <v>596</v>
      </c>
      <c r="D124" s="182" t="s">
        <v>640</v>
      </c>
      <c r="E124" s="179" t="s">
        <v>597</v>
      </c>
      <c r="F124" s="179"/>
      <c r="G124" s="179"/>
      <c r="H124" s="179"/>
      <c r="I124" s="179"/>
      <c r="J124" s="179"/>
      <c r="K124" s="179"/>
      <c r="L124" s="179" t="s">
        <v>597</v>
      </c>
      <c r="M124" s="181"/>
      <c r="N124" s="162" t="s">
        <v>1779</v>
      </c>
    </row>
    <row r="125" spans="1:14" ht="15" customHeight="1" thickBot="1">
      <c r="A125" s="63" t="s">
        <v>2583</v>
      </c>
      <c r="B125" s="188" t="s">
        <v>2585</v>
      </c>
      <c r="C125" s="189" t="s">
        <v>596</v>
      </c>
      <c r="D125" s="206" t="s">
        <v>642</v>
      </c>
      <c r="E125" s="179" t="s">
        <v>597</v>
      </c>
      <c r="F125" s="188"/>
      <c r="G125" s="179" t="s">
        <v>597</v>
      </c>
      <c r="H125" s="188"/>
      <c r="I125" s="188"/>
      <c r="J125" s="188"/>
      <c r="K125" s="188"/>
      <c r="L125" s="205"/>
      <c r="M125" s="194"/>
      <c r="N125" s="194" t="s">
        <v>1780</v>
      </c>
    </row>
    <row r="126" spans="1:14" ht="15" customHeight="1" thickTop="1">
      <c r="A126" s="63" t="s">
        <v>2587</v>
      </c>
      <c r="B126" s="71"/>
      <c r="C126" s="72"/>
      <c r="D126" s="66"/>
      <c r="E126" s="73"/>
      <c r="F126" s="73"/>
      <c r="G126" s="73"/>
      <c r="H126" s="73"/>
      <c r="I126" s="73"/>
      <c r="J126" s="68"/>
      <c r="K126" s="73"/>
      <c r="L126" s="68"/>
      <c r="M126" s="69"/>
      <c r="N126" s="63"/>
    </row>
    <row r="127" spans="1:14" ht="15" customHeight="1">
      <c r="A127" s="63" t="s">
        <v>2587</v>
      </c>
      <c r="B127" s="64"/>
      <c r="C127" s="65"/>
      <c r="D127" s="66"/>
      <c r="E127" s="68"/>
      <c r="F127" s="67"/>
      <c r="G127" s="62"/>
      <c r="H127" s="68"/>
      <c r="I127" s="67"/>
      <c r="J127" s="67"/>
      <c r="K127" s="67"/>
      <c r="L127" s="67"/>
      <c r="M127" s="69"/>
      <c r="N127" s="63"/>
    </row>
    <row r="128" spans="1:14" ht="15" customHeight="1">
      <c r="A128" s="63" t="s">
        <v>2587</v>
      </c>
      <c r="B128" s="64"/>
      <c r="C128" s="65"/>
      <c r="D128" s="66"/>
      <c r="E128" s="67"/>
      <c r="F128" s="67"/>
      <c r="G128" s="68"/>
      <c r="H128" s="67"/>
      <c r="I128" s="68"/>
      <c r="J128" s="67"/>
      <c r="K128" s="67"/>
      <c r="L128" s="67"/>
      <c r="M128" s="69"/>
      <c r="N128" s="63"/>
    </row>
    <row r="129" spans="1:14" ht="15" customHeight="1" thickBot="1">
      <c r="A129" s="63" t="s">
        <v>2587</v>
      </c>
      <c r="B129" s="74"/>
      <c r="C129" s="70"/>
      <c r="D129" s="66"/>
      <c r="E129" s="75"/>
      <c r="F129" s="68"/>
      <c r="G129" s="75"/>
      <c r="H129" s="75"/>
      <c r="I129" s="62"/>
      <c r="J129" s="75"/>
      <c r="K129" s="68"/>
      <c r="L129" s="75"/>
      <c r="M129" s="76"/>
      <c r="N129" s="63"/>
    </row>
    <row r="130" spans="1:14" ht="13.5" customHeight="1" thickTop="1"/>
  </sheetData>
  <mergeCells count="5">
    <mergeCell ref="A65:N65"/>
    <mergeCell ref="A13:N13"/>
    <mergeCell ref="A26:N26"/>
    <mergeCell ref="A39:N39"/>
    <mergeCell ref="A52:N52"/>
  </mergeCells>
  <phoneticPr fontId="9" type="noConversion"/>
  <pageMargins left="0.75" right="0.75" top="1" bottom="1" header="0.5" footer="0.5"/>
  <pageSetup paperSize="9" orientation="landscape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3"/>
  <dimension ref="A1:D47"/>
  <sheetViews>
    <sheetView tabSelected="1" topLeftCell="C7" workbookViewId="0">
      <selection activeCell="C23" sqref="C23"/>
    </sheetView>
  </sheetViews>
  <sheetFormatPr defaultColWidth="9" defaultRowHeight="14.25"/>
  <cols>
    <col min="1" max="1" width="12.25" customWidth="1"/>
    <col min="2" max="2" width="47.625" customWidth="1"/>
    <col min="3" max="3" width="95.375" customWidth="1"/>
    <col min="4" max="4" width="50.375" customWidth="1"/>
  </cols>
  <sheetData>
    <row r="1" spans="1:4">
      <c r="A1" t="s">
        <v>1783</v>
      </c>
      <c r="B1" t="s">
        <v>1784</v>
      </c>
      <c r="C1" t="s">
        <v>1811</v>
      </c>
      <c r="D1" t="s">
        <v>1812</v>
      </c>
    </row>
    <row r="2" spans="1:4" ht="21.75" customHeight="1">
      <c r="A2" t="s">
        <v>1813</v>
      </c>
      <c r="B2" t="s">
        <v>1814</v>
      </c>
      <c r="C2" t="s">
        <v>1832</v>
      </c>
      <c r="D2" t="s">
        <v>1833</v>
      </c>
    </row>
    <row r="3" spans="1:4">
      <c r="A3" t="s">
        <v>1834</v>
      </c>
      <c r="B3" t="s">
        <v>1835</v>
      </c>
      <c r="C3" t="s">
        <v>1844</v>
      </c>
      <c r="D3" t="s">
        <v>1845</v>
      </c>
    </row>
    <row r="4" spans="1:4">
      <c r="A4" t="s">
        <v>1846</v>
      </c>
      <c r="B4" t="s">
        <v>1847</v>
      </c>
      <c r="C4" t="s">
        <v>1856</v>
      </c>
      <c r="D4" t="s">
        <v>1857</v>
      </c>
    </row>
    <row r="5" spans="1:4">
      <c r="A5" t="s">
        <v>1858</v>
      </c>
      <c r="B5" t="s">
        <v>1859</v>
      </c>
      <c r="C5" s="174" t="s">
        <v>1868</v>
      </c>
      <c r="D5" t="s">
        <v>1869</v>
      </c>
    </row>
    <row r="6" spans="1:4">
      <c r="A6" t="s">
        <v>1870</v>
      </c>
      <c r="B6" t="s">
        <v>1871</v>
      </c>
      <c r="C6" t="s">
        <v>1889</v>
      </c>
      <c r="D6" t="s">
        <v>1890</v>
      </c>
    </row>
    <row r="7" spans="1:4">
      <c r="A7" t="s">
        <v>1891</v>
      </c>
      <c r="B7" t="s">
        <v>1892</v>
      </c>
      <c r="C7" t="s">
        <v>1909</v>
      </c>
      <c r="D7" t="s">
        <v>1910</v>
      </c>
    </row>
    <row r="8" spans="1:4">
      <c r="A8" t="s">
        <v>1911</v>
      </c>
      <c r="B8" s="174" t="s">
        <v>1912</v>
      </c>
      <c r="C8" t="s">
        <v>1921</v>
      </c>
      <c r="D8" t="s">
        <v>1922</v>
      </c>
    </row>
    <row r="9" spans="1:4">
      <c r="A9" t="s">
        <v>1923</v>
      </c>
      <c r="B9" t="s">
        <v>1924</v>
      </c>
      <c r="C9" t="s">
        <v>1941</v>
      </c>
      <c r="D9" t="s">
        <v>1942</v>
      </c>
    </row>
    <row r="10" spans="1:4">
      <c r="A10" t="s">
        <v>1943</v>
      </c>
      <c r="B10" t="s">
        <v>1944</v>
      </c>
      <c r="C10" s="174" t="s">
        <v>1953</v>
      </c>
      <c r="D10" s="174" t="s">
        <v>1954</v>
      </c>
    </row>
    <row r="11" spans="1:4">
      <c r="A11" t="s">
        <v>1955</v>
      </c>
      <c r="B11" t="s">
        <v>1956</v>
      </c>
      <c r="C11" s="174" t="s">
        <v>1965</v>
      </c>
      <c r="D11" s="174" t="s">
        <v>1966</v>
      </c>
    </row>
    <row r="12" spans="1:4">
      <c r="A12" t="s">
        <v>1967</v>
      </c>
      <c r="B12" t="s">
        <v>1968</v>
      </c>
      <c r="C12" t="s">
        <v>1983</v>
      </c>
      <c r="D12" t="s">
        <v>1984</v>
      </c>
    </row>
    <row r="13" spans="1:4">
      <c r="A13" t="s">
        <v>1985</v>
      </c>
      <c r="B13" s="174" t="s">
        <v>1986</v>
      </c>
      <c r="C13" t="s">
        <v>1995</v>
      </c>
      <c r="D13" t="s">
        <v>1996</v>
      </c>
    </row>
    <row r="14" spans="1:4">
      <c r="A14" t="s">
        <v>1997</v>
      </c>
      <c r="B14" s="174" t="s">
        <v>1998</v>
      </c>
      <c r="C14" s="174" t="s">
        <v>2015</v>
      </c>
      <c r="D14" t="s">
        <v>2016</v>
      </c>
    </row>
    <row r="15" spans="1:4">
      <c r="A15" t="s">
        <v>2017</v>
      </c>
      <c r="B15" s="174" t="s">
        <v>2018</v>
      </c>
      <c r="C15" s="174" t="s">
        <v>2027</v>
      </c>
      <c r="D15" s="174" t="s">
        <v>2028</v>
      </c>
    </row>
    <row r="16" spans="1:4">
      <c r="A16" t="s">
        <v>2029</v>
      </c>
      <c r="B16" s="174" t="s">
        <v>2030</v>
      </c>
      <c r="C16" s="174" t="s">
        <v>2039</v>
      </c>
      <c r="D16" s="174" t="s">
        <v>2040</v>
      </c>
    </row>
    <row r="17" spans="1:4">
      <c r="A17" t="s">
        <v>2041</v>
      </c>
      <c r="B17" s="174" t="s">
        <v>2042</v>
      </c>
      <c r="C17" s="174" t="s">
        <v>2059</v>
      </c>
      <c r="D17" t="s">
        <v>2060</v>
      </c>
    </row>
    <row r="18" spans="1:4">
      <c r="A18" t="s">
        <v>2061</v>
      </c>
      <c r="B18" t="s">
        <v>2062</v>
      </c>
      <c r="C18" s="174" t="s">
        <v>2071</v>
      </c>
      <c r="D18" t="s">
        <v>2072</v>
      </c>
    </row>
    <row r="19" spans="1:4">
      <c r="A19" t="s">
        <v>2073</v>
      </c>
      <c r="B19" t="s">
        <v>2074</v>
      </c>
      <c r="C19" t="s">
        <v>2091</v>
      </c>
      <c r="D19" t="s">
        <v>2092</v>
      </c>
    </row>
    <row r="20" spans="1:4">
      <c r="A20" t="s">
        <v>2093</v>
      </c>
      <c r="B20" s="174" t="s">
        <v>2094</v>
      </c>
      <c r="C20" s="174" t="s">
        <v>2118</v>
      </c>
      <c r="D20" t="s">
        <v>2119</v>
      </c>
    </row>
    <row r="21" spans="1:4">
      <c r="A21" t="s">
        <v>2120</v>
      </c>
      <c r="B21" t="s">
        <v>2121</v>
      </c>
      <c r="C21" s="174" t="s">
        <v>2146</v>
      </c>
      <c r="D21" t="s">
        <v>2147</v>
      </c>
    </row>
    <row r="22" spans="1:4">
      <c r="A22" t="s">
        <v>2148</v>
      </c>
      <c r="B22" t="s">
        <v>2149</v>
      </c>
      <c r="C22" t="s">
        <v>2167</v>
      </c>
      <c r="D22" t="s">
        <v>2168</v>
      </c>
    </row>
    <row r="23" spans="1:4">
      <c r="A23" t="s">
        <v>2148</v>
      </c>
      <c r="B23" t="s">
        <v>2149</v>
      </c>
      <c r="C23" s="174" t="s">
        <v>1782</v>
      </c>
      <c r="D23" t="s">
        <v>2180</v>
      </c>
    </row>
    <row r="24" spans="1:4">
      <c r="A24" t="s">
        <v>2181</v>
      </c>
      <c r="B24" s="174" t="s">
        <v>2182</v>
      </c>
      <c r="C24" s="174" t="s">
        <v>2202</v>
      </c>
      <c r="D24" t="s">
        <v>2203</v>
      </c>
    </row>
    <row r="25" spans="1:4">
      <c r="A25" t="s">
        <v>2204</v>
      </c>
      <c r="B25" t="s">
        <v>2182</v>
      </c>
      <c r="C25" s="174" t="s">
        <v>2214</v>
      </c>
      <c r="D25" t="s">
        <v>2180</v>
      </c>
    </row>
    <row r="26" spans="1:4">
      <c r="A26" t="s">
        <v>2215</v>
      </c>
      <c r="B26" s="174" t="s">
        <v>2216</v>
      </c>
      <c r="C26" t="s">
        <v>2236</v>
      </c>
      <c r="D26" t="s">
        <v>2237</v>
      </c>
    </row>
    <row r="27" spans="1:4">
      <c r="A27" t="s">
        <v>2215</v>
      </c>
      <c r="B27" s="174" t="s">
        <v>2216</v>
      </c>
      <c r="C27" s="174" t="s">
        <v>2247</v>
      </c>
      <c r="D27" t="s">
        <v>2180</v>
      </c>
    </row>
    <row r="28" spans="1:4">
      <c r="A28" t="s">
        <v>2248</v>
      </c>
      <c r="B28" t="s">
        <v>2249</v>
      </c>
      <c r="C28" s="174" t="s">
        <v>2266</v>
      </c>
      <c r="D28" s="174" t="s">
        <v>2267</v>
      </c>
    </row>
    <row r="29" spans="1:4">
      <c r="A29" t="s">
        <v>2248</v>
      </c>
      <c r="B29" s="174" t="s">
        <v>2249</v>
      </c>
      <c r="C29" s="174" t="s">
        <v>2277</v>
      </c>
      <c r="D29" t="s">
        <v>2180</v>
      </c>
    </row>
    <row r="30" spans="1:4">
      <c r="A30" t="s">
        <v>2278</v>
      </c>
      <c r="B30" t="s">
        <v>2279</v>
      </c>
      <c r="C30" s="174" t="s">
        <v>2296</v>
      </c>
      <c r="D30" t="s">
        <v>2297</v>
      </c>
    </row>
    <row r="31" spans="1:4">
      <c r="A31" t="s">
        <v>2278</v>
      </c>
      <c r="B31" s="174" t="s">
        <v>2279</v>
      </c>
      <c r="C31" t="s">
        <v>2307</v>
      </c>
      <c r="D31" t="s">
        <v>2180</v>
      </c>
    </row>
    <row r="32" spans="1:4">
      <c r="A32" t="s">
        <v>2308</v>
      </c>
      <c r="B32" s="174" t="s">
        <v>2309</v>
      </c>
      <c r="C32" s="174" t="s">
        <v>2326</v>
      </c>
      <c r="D32" s="174" t="s">
        <v>2327</v>
      </c>
    </row>
    <row r="33" spans="1:4">
      <c r="A33" t="s">
        <v>2308</v>
      </c>
      <c r="B33" t="s">
        <v>2309</v>
      </c>
      <c r="C33" s="174" t="s">
        <v>2337</v>
      </c>
      <c r="D33" t="s">
        <v>2180</v>
      </c>
    </row>
    <row r="34" spans="1:4">
      <c r="A34" t="s">
        <v>2338</v>
      </c>
      <c r="B34" t="s">
        <v>2339</v>
      </c>
      <c r="C34" t="s">
        <v>2364</v>
      </c>
      <c r="D34" s="174" t="s">
        <v>2365</v>
      </c>
    </row>
    <row r="35" spans="1:4">
      <c r="A35" t="s">
        <v>2338</v>
      </c>
      <c r="B35" s="174" t="s">
        <v>2339</v>
      </c>
      <c r="C35" s="174" t="s">
        <v>2377</v>
      </c>
      <c r="D35" t="s">
        <v>2180</v>
      </c>
    </row>
    <row r="36" spans="1:4">
      <c r="A36" t="s">
        <v>2378</v>
      </c>
      <c r="B36" t="s">
        <v>2379</v>
      </c>
      <c r="C36" t="s">
        <v>2403</v>
      </c>
      <c r="D36" t="s">
        <v>2404</v>
      </c>
    </row>
    <row r="37" spans="1:4">
      <c r="A37" t="s">
        <v>2378</v>
      </c>
      <c r="B37" t="s">
        <v>2379</v>
      </c>
      <c r="C37" t="s">
        <v>2410</v>
      </c>
      <c r="D37" t="s">
        <v>2180</v>
      </c>
    </row>
    <row r="38" spans="1:4">
      <c r="A38" t="s">
        <v>2411</v>
      </c>
      <c r="B38" s="174" t="s">
        <v>2412</v>
      </c>
      <c r="C38" t="s">
        <v>2422</v>
      </c>
      <c r="D38" t="s">
        <v>2423</v>
      </c>
    </row>
    <row r="39" spans="1:4">
      <c r="A39" t="s">
        <v>2411</v>
      </c>
      <c r="B39" t="s">
        <v>2412</v>
      </c>
      <c r="C39" s="174" t="s">
        <v>2431</v>
      </c>
      <c r="D39" t="s">
        <v>2180</v>
      </c>
    </row>
    <row r="40" spans="1:4">
      <c r="A40" t="s">
        <v>2432</v>
      </c>
      <c r="B40" t="s">
        <v>2433</v>
      </c>
      <c r="C40" t="s">
        <v>2443</v>
      </c>
      <c r="D40" t="s">
        <v>2444</v>
      </c>
    </row>
    <row r="41" spans="1:4">
      <c r="A41" t="s">
        <v>2435</v>
      </c>
      <c r="B41" t="s">
        <v>2433</v>
      </c>
      <c r="C41" t="s">
        <v>2454</v>
      </c>
      <c r="D41" t="s">
        <v>2180</v>
      </c>
    </row>
    <row r="42" spans="1:4">
      <c r="A42" t="s">
        <v>2455</v>
      </c>
      <c r="B42" s="174" t="s">
        <v>2456</v>
      </c>
      <c r="C42" t="s">
        <v>2473</v>
      </c>
      <c r="D42" t="s">
        <v>2474</v>
      </c>
    </row>
    <row r="43" spans="1:4">
      <c r="A43" t="s">
        <v>2455</v>
      </c>
      <c r="B43" t="s">
        <v>2456</v>
      </c>
      <c r="C43" t="s">
        <v>2484</v>
      </c>
      <c r="D43" t="s">
        <v>2180</v>
      </c>
    </row>
    <row r="44" spans="1:4">
      <c r="A44" t="s">
        <v>2485</v>
      </c>
      <c r="B44" t="s">
        <v>2486</v>
      </c>
      <c r="C44" t="s">
        <v>2519</v>
      </c>
      <c r="D44" t="s">
        <v>2520</v>
      </c>
    </row>
    <row r="45" spans="1:4">
      <c r="A45" t="s">
        <v>2485</v>
      </c>
      <c r="B45" t="s">
        <v>2486</v>
      </c>
      <c r="C45" t="s">
        <v>2536</v>
      </c>
      <c r="D45" t="s">
        <v>2179</v>
      </c>
    </row>
    <row r="46" spans="1:4">
      <c r="A46" t="s">
        <v>2537</v>
      </c>
      <c r="B46" t="s">
        <v>2538</v>
      </c>
      <c r="C46" t="s">
        <v>2571</v>
      </c>
      <c r="D46" t="s">
        <v>2572</v>
      </c>
    </row>
    <row r="47" spans="1:4">
      <c r="A47" t="s">
        <v>2537</v>
      </c>
      <c r="B47" t="s">
        <v>2538</v>
      </c>
      <c r="C47" t="s">
        <v>2588</v>
      </c>
      <c r="D47" t="s">
        <v>2179</v>
      </c>
    </row>
  </sheetData>
  <phoneticPr fontId="9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2"/>
  <dimension ref="A1:V377"/>
  <sheetViews>
    <sheetView topLeftCell="L1" workbookViewId="0">
      <selection activeCell="R12" sqref="R12"/>
    </sheetView>
  </sheetViews>
  <sheetFormatPr defaultColWidth="9" defaultRowHeight="14.25"/>
  <cols>
    <col min="1" max="1" width="8.375" customWidth="1"/>
    <col min="2" max="2" width="7.5" customWidth="1"/>
    <col min="8" max="8" width="6.25" customWidth="1"/>
    <col min="9" max="9" width="7.625" customWidth="1"/>
    <col min="10" max="10" width="9.125" customWidth="1"/>
    <col min="15" max="15" width="15.875" customWidth="1"/>
    <col min="18" max="18" width="36.125" customWidth="1"/>
    <col min="19" max="19" width="34.375" customWidth="1"/>
    <col min="21" max="21" width="20.75" customWidth="1"/>
  </cols>
  <sheetData>
    <row r="1" spans="1:22">
      <c r="A1" t="s">
        <v>479</v>
      </c>
      <c r="B1" t="s">
        <v>457</v>
      </c>
      <c r="C1" t="s">
        <v>458</v>
      </c>
      <c r="D1" t="s">
        <v>459</v>
      </c>
      <c r="G1">
        <f>COLUMN()</f>
        <v>7</v>
      </c>
      <c r="H1">
        <v>1</v>
      </c>
      <c r="I1" t="s">
        <v>2</v>
      </c>
      <c r="J1" t="s">
        <v>3</v>
      </c>
      <c r="K1">
        <v>8</v>
      </c>
      <c r="Q1">
        <f>COLUMN()</f>
        <v>17</v>
      </c>
      <c r="R1" t="s">
        <v>431</v>
      </c>
      <c r="T1">
        <f>COLUMN()</f>
        <v>20</v>
      </c>
      <c r="U1" t="str">
        <f>I1</f>
        <v>男子</v>
      </c>
      <c r="V1" t="str">
        <f>J1</f>
        <v>女子</v>
      </c>
    </row>
    <row r="2" spans="1:22" s="15" customFormat="1">
      <c r="A2" s="15" t="s">
        <v>1783</v>
      </c>
      <c r="B2" s="15" t="s">
        <v>1785</v>
      </c>
      <c r="C2" s="15" t="s">
        <v>1786</v>
      </c>
      <c r="D2" s="15" t="s">
        <v>1787</v>
      </c>
      <c r="E2" s="15" t="s">
        <v>1788</v>
      </c>
      <c r="F2" s="15" t="s">
        <v>1789</v>
      </c>
      <c r="G2" s="15">
        <v>8</v>
      </c>
      <c r="H2" s="15" t="s">
        <v>461</v>
      </c>
      <c r="I2" s="15">
        <v>19</v>
      </c>
      <c r="J2" s="15">
        <v>17</v>
      </c>
      <c r="K2" s="15">
        <f>ROUNDUP(I2/G2,0)</f>
        <v>3</v>
      </c>
      <c r="L2" s="15">
        <f>ROUNDUP(J2/G2,0)</f>
        <v>3</v>
      </c>
      <c r="M2" s="15" t="str">
        <f>IF(K2&gt;1,"预赛","预决赛")</f>
        <v>预赛</v>
      </c>
      <c r="N2" s="15" t="str">
        <f>IF(L2&gt;1,"预赛","预决赛")</f>
        <v>预赛</v>
      </c>
      <c r="O2" s="15" t="str">
        <f>IF(M2="预赛","取前８名进决赛",IF(I2&gt;7,"取前６名",IF(I2&lt;2,"不比赛","取前"&amp;I2-1&amp;"名")))</f>
        <v>取前８名进决赛</v>
      </c>
      <c r="P2" s="15" t="str">
        <f>IF(N2="预赛","取前８名进决赛",IF(J2&gt;7,"取前６名",IF(J2&lt;2,"不比赛","取前"&amp;J2-1&amp;"名")))</f>
        <v>取前８名进决赛</v>
      </c>
      <c r="Q2" s="174" t="s">
        <v>120</v>
      </c>
      <c r="R2" s="15" t="str">
        <f>"男子"&amp;$H2&amp;M2&amp;I2&amp;"人"&amp;K2&amp;"组"&amp;O2</f>
        <v>男子100米预赛19人3组取前８名进决赛</v>
      </c>
      <c r="S2" s="15" t="str">
        <f>"女子"&amp;$H2&amp;N2&amp;J2&amp;"人"&amp;L2&amp;"组"&amp;P2</f>
        <v>女子100米预赛17人3组取前８名进决赛</v>
      </c>
      <c r="U2" s="248" t="s">
        <v>6</v>
      </c>
      <c r="V2" s="248" t="s">
        <v>7</v>
      </c>
    </row>
    <row r="3" spans="1:22" s="15" customFormat="1">
      <c r="A3" s="16" t="s">
        <v>1783</v>
      </c>
      <c r="B3" s="16" t="s">
        <v>1790</v>
      </c>
      <c r="C3" s="16" t="s">
        <v>1791</v>
      </c>
      <c r="D3" s="16" t="s">
        <v>1787</v>
      </c>
      <c r="E3" s="16" t="s">
        <v>1792</v>
      </c>
      <c r="F3" s="16" t="s">
        <v>1793</v>
      </c>
      <c r="G3" s="16">
        <v>8</v>
      </c>
      <c r="H3" s="16" t="s">
        <v>462</v>
      </c>
      <c r="I3" s="16">
        <v>17</v>
      </c>
      <c r="J3" s="16">
        <v>21</v>
      </c>
      <c r="K3" s="15">
        <f t="shared" ref="K3:K9" si="0">ROUNDUP(I3/G3,0)</f>
        <v>3</v>
      </c>
      <c r="L3" s="15">
        <f t="shared" ref="L3:L9" si="1">ROUNDUP(J3/G3,0)</f>
        <v>3</v>
      </c>
      <c r="M3" s="15" t="str">
        <f t="shared" ref="M3:M9" si="2">IF(K3&gt;1,"预赛","预决赛")</f>
        <v>预赛</v>
      </c>
      <c r="N3" s="15" t="str">
        <f t="shared" ref="N3:N9" si="3">IF(L3&gt;1,"预赛","预决赛")</f>
        <v>预赛</v>
      </c>
      <c r="O3" s="15" t="str">
        <f t="shared" ref="O3:O9" si="4">IF(M3="预赛","取前８名进决赛",IF(I3&gt;7,"取前６名",IF(I3&lt;2,"不比赛","取前"&amp;I3-1&amp;"名")))</f>
        <v>取前８名进决赛</v>
      </c>
      <c r="P3" s="15" t="str">
        <f t="shared" ref="P3:P8" si="5">IF(N3="预赛","取前８名进决赛",IF(J3&gt;7,"取前６名",IF(J3&lt;2,"不比赛","取前"&amp;J3-1&amp;"名")))</f>
        <v>取前８名进决赛</v>
      </c>
      <c r="Q3" t="s">
        <v>474</v>
      </c>
      <c r="R3" s="15" t="str">
        <f t="shared" ref="R3:R9" si="6">"男子"&amp;$H3&amp;M3&amp;I3&amp;"人"&amp;K3&amp;"组"&amp;O3</f>
        <v>男子200米预赛17人3组取前８名进决赛</v>
      </c>
      <c r="S3" s="15" t="str">
        <f>"女子"&amp;$H3&amp;N3&amp;J3&amp;"人"&amp;L3&amp;"组"&amp;P3</f>
        <v>女子200米预赛21人3组取前８名进决赛</v>
      </c>
      <c r="U3" s="249" t="s">
        <v>10</v>
      </c>
      <c r="V3" s="249" t="s">
        <v>0</v>
      </c>
    </row>
    <row r="4" spans="1:22" s="15" customFormat="1">
      <c r="A4" s="16" t="s">
        <v>1783</v>
      </c>
      <c r="B4" s="16" t="s">
        <v>1794</v>
      </c>
      <c r="C4" s="16" t="s">
        <v>1795</v>
      </c>
      <c r="D4" s="16" t="s">
        <v>1787</v>
      </c>
      <c r="E4" s="17" t="s">
        <v>1792</v>
      </c>
      <c r="F4" s="17" t="s">
        <v>1796</v>
      </c>
      <c r="G4" s="17">
        <v>8</v>
      </c>
      <c r="H4" s="17" t="s">
        <v>463</v>
      </c>
      <c r="I4" s="17">
        <v>20</v>
      </c>
      <c r="J4" s="17">
        <v>19</v>
      </c>
      <c r="K4" s="15">
        <f t="shared" si="0"/>
        <v>3</v>
      </c>
      <c r="L4" s="15">
        <f t="shared" si="1"/>
        <v>3</v>
      </c>
      <c r="M4" s="15" t="str">
        <f t="shared" si="2"/>
        <v>预赛</v>
      </c>
      <c r="N4" s="15" t="str">
        <f t="shared" si="3"/>
        <v>预赛</v>
      </c>
      <c r="O4" s="15" t="str">
        <f t="shared" si="4"/>
        <v>取前８名进决赛</v>
      </c>
      <c r="P4" s="15" t="str">
        <f t="shared" si="5"/>
        <v>取前８名进决赛</v>
      </c>
      <c r="Q4" t="s">
        <v>333</v>
      </c>
      <c r="R4" s="15" t="str">
        <f>"男子"&amp;$H4&amp;M4&amp;I4&amp;"人"&amp;K4&amp;"组"&amp;O4</f>
        <v>男子400米预赛20人3组取前８名进决赛</v>
      </c>
      <c r="S4" s="15" t="str">
        <f t="shared" ref="S4:S9" si="7">"女子"&amp;$H4&amp;N4&amp;J4&amp;"人"&amp;L4&amp;"组"&amp;P4</f>
        <v>女子400米预赛19人3组取前８名进决赛</v>
      </c>
      <c r="U4" s="249" t="s">
        <v>8</v>
      </c>
      <c r="V4" s="249" t="s">
        <v>9</v>
      </c>
    </row>
    <row r="5" spans="1:22" s="15" customFormat="1">
      <c r="A5" s="16" t="s">
        <v>1783</v>
      </c>
      <c r="B5" s="16" t="s">
        <v>1797</v>
      </c>
      <c r="C5" s="16" t="s">
        <v>1798</v>
      </c>
      <c r="D5" s="16" t="s">
        <v>1787</v>
      </c>
      <c r="E5" s="16" t="s">
        <v>1799</v>
      </c>
      <c r="F5" s="16" t="s">
        <v>1800</v>
      </c>
      <c r="G5" s="16">
        <v>17</v>
      </c>
      <c r="H5" s="16" t="s">
        <v>464</v>
      </c>
      <c r="I5" s="16">
        <v>16</v>
      </c>
      <c r="J5" s="16">
        <v>16</v>
      </c>
      <c r="K5" s="15">
        <f t="shared" si="0"/>
        <v>1</v>
      </c>
      <c r="L5" s="15">
        <f t="shared" si="1"/>
        <v>1</v>
      </c>
      <c r="M5" s="15" t="str">
        <f t="shared" si="2"/>
        <v>预决赛</v>
      </c>
      <c r="N5" s="15" t="str">
        <f t="shared" si="3"/>
        <v>预决赛</v>
      </c>
      <c r="O5" s="15" t="str">
        <f t="shared" si="4"/>
        <v>取前６名</v>
      </c>
      <c r="P5" s="15" t="str">
        <f t="shared" si="5"/>
        <v>取前６名</v>
      </c>
      <c r="Q5" t="s">
        <v>474</v>
      </c>
      <c r="R5" s="15" t="str">
        <f>"男子"&amp;$H5&amp;M5&amp;I5&amp;"人"&amp;K5&amp;"组"&amp;O5</f>
        <v>男子800米预决赛16人1组取前６名</v>
      </c>
      <c r="S5" s="15" t="str">
        <f t="shared" si="7"/>
        <v>女子800米预决赛16人1组取前６名</v>
      </c>
      <c r="U5" s="246" t="s">
        <v>11</v>
      </c>
      <c r="V5" s="246" t="s">
        <v>12</v>
      </c>
    </row>
    <row r="6" spans="1:22" s="15" customFormat="1">
      <c r="A6" s="16" t="s">
        <v>1783</v>
      </c>
      <c r="B6" s="16" t="s">
        <v>1801</v>
      </c>
      <c r="C6" s="16" t="s">
        <v>1802</v>
      </c>
      <c r="D6" s="16" t="s">
        <v>1803</v>
      </c>
      <c r="E6" s="16" t="s">
        <v>1788</v>
      </c>
      <c r="F6" s="16" t="s">
        <v>1789</v>
      </c>
      <c r="G6" s="16">
        <v>30</v>
      </c>
      <c r="H6" s="16" t="s">
        <v>466</v>
      </c>
      <c r="I6" s="16">
        <v>16</v>
      </c>
      <c r="J6" s="16">
        <v>19</v>
      </c>
      <c r="K6" s="15">
        <f t="shared" si="0"/>
        <v>1</v>
      </c>
      <c r="L6" s="15">
        <f t="shared" si="1"/>
        <v>1</v>
      </c>
      <c r="M6" s="15" t="str">
        <f t="shared" si="2"/>
        <v>预决赛</v>
      </c>
      <c r="N6" s="15" t="str">
        <f t="shared" si="3"/>
        <v>预决赛</v>
      </c>
      <c r="O6" s="15" t="str">
        <f t="shared" si="4"/>
        <v>取前６名</v>
      </c>
      <c r="P6" s="15" t="str">
        <f t="shared" si="5"/>
        <v>取前６名</v>
      </c>
      <c r="Q6" t="s">
        <v>474</v>
      </c>
      <c r="R6" s="15" t="str">
        <f>"男子"&amp;$H6&amp;M6&amp;I6&amp;"人"&amp;K6&amp;"组"&amp;O6</f>
        <v>男子跳高预决赛16人1组取前６名</v>
      </c>
      <c r="S6" s="15" t="str">
        <f t="shared" si="7"/>
        <v>女子跳高预决赛19人1组取前６名</v>
      </c>
      <c r="U6" s="246" t="s">
        <v>13</v>
      </c>
      <c r="V6" s="246" t="s">
        <v>14</v>
      </c>
    </row>
    <row r="7" spans="1:22" s="15" customFormat="1">
      <c r="A7" s="16" t="s">
        <v>1783</v>
      </c>
      <c r="B7" s="16" t="s">
        <v>1804</v>
      </c>
      <c r="C7" s="16" t="s">
        <v>1805</v>
      </c>
      <c r="D7" s="16" t="s">
        <v>1803</v>
      </c>
      <c r="E7" s="16" t="s">
        <v>1793</v>
      </c>
      <c r="F7" s="16" t="s">
        <v>1806</v>
      </c>
      <c r="G7" s="16">
        <v>30</v>
      </c>
      <c r="H7" s="16" t="s">
        <v>467</v>
      </c>
      <c r="I7" s="16">
        <v>19</v>
      </c>
      <c r="J7" s="16">
        <v>17</v>
      </c>
      <c r="K7" s="15">
        <f t="shared" si="0"/>
        <v>1</v>
      </c>
      <c r="L7" s="15">
        <f>ROUNDUP(J7/G7,0)</f>
        <v>1</v>
      </c>
      <c r="M7" s="15" t="str">
        <f t="shared" si="2"/>
        <v>预决赛</v>
      </c>
      <c r="N7" s="15" t="str">
        <f t="shared" si="3"/>
        <v>预决赛</v>
      </c>
      <c r="O7" s="15" t="str">
        <f t="shared" si="4"/>
        <v>取前６名</v>
      </c>
      <c r="P7" s="15" t="str">
        <f t="shared" si="5"/>
        <v>取前６名</v>
      </c>
      <c r="Q7" t="s">
        <v>474</v>
      </c>
      <c r="R7" s="15" t="str">
        <f>"男子"&amp;$H7&amp;M7&amp;I7&amp;"人"&amp;K7&amp;"组"&amp;O7</f>
        <v>男子跳远预决赛19人1组取前６名</v>
      </c>
      <c r="S7" s="15" t="str">
        <f>"女子"&amp;$H7&amp;N7&amp;J7&amp;"人"&amp;L7&amp;"组"&amp;P7</f>
        <v>女子跳远预决赛17人1组取前６名</v>
      </c>
      <c r="U7" s="246" t="s">
        <v>15</v>
      </c>
      <c r="V7" s="246" t="s">
        <v>16</v>
      </c>
    </row>
    <row r="8" spans="1:22" s="15" customFormat="1">
      <c r="A8" s="16" t="s">
        <v>1783</v>
      </c>
      <c r="B8" s="16" t="s">
        <v>1807</v>
      </c>
      <c r="C8" s="16" t="s">
        <v>1808</v>
      </c>
      <c r="D8" s="16" t="s">
        <v>1803</v>
      </c>
      <c r="E8" s="16" t="s">
        <v>1796</v>
      </c>
      <c r="F8" s="16" t="s">
        <v>1799</v>
      </c>
      <c r="G8" s="16">
        <v>30</v>
      </c>
      <c r="H8" s="16" t="s">
        <v>469</v>
      </c>
      <c r="I8" s="16">
        <v>19</v>
      </c>
      <c r="J8" s="16">
        <v>19</v>
      </c>
      <c r="K8" s="15">
        <f t="shared" si="0"/>
        <v>1</v>
      </c>
      <c r="L8" s="15">
        <f t="shared" si="1"/>
        <v>1</v>
      </c>
      <c r="M8" s="15" t="str">
        <f t="shared" si="2"/>
        <v>预决赛</v>
      </c>
      <c r="N8" s="15" t="str">
        <f t="shared" si="3"/>
        <v>预决赛</v>
      </c>
      <c r="O8" s="15" t="str">
        <f>IF(M8="预赛","取前８名进决赛",IF(I8&gt;7,"取前６名",IF(I8&lt;2,"不比赛","取前"&amp;I8-1&amp;"名")))</f>
        <v>取前６名</v>
      </c>
      <c r="P8" s="15" t="str">
        <f t="shared" si="5"/>
        <v>取前６名</v>
      </c>
      <c r="Q8" t="s">
        <v>474</v>
      </c>
      <c r="R8" s="15" t="str">
        <f t="shared" si="6"/>
        <v>男子实心球预决赛19人1组取前６名</v>
      </c>
      <c r="S8" s="15" t="str">
        <f t="shared" si="7"/>
        <v>女子实心球预决赛19人1组取前６名</v>
      </c>
      <c r="U8" s="246" t="s">
        <v>17</v>
      </c>
      <c r="V8" s="246" t="s">
        <v>18</v>
      </c>
    </row>
    <row r="9" spans="1:22" s="15" customFormat="1">
      <c r="A9" s="16" t="s">
        <v>1783</v>
      </c>
      <c r="B9" s="16" t="s">
        <v>1809</v>
      </c>
      <c r="C9" s="16" t="s">
        <v>1810</v>
      </c>
      <c r="D9" s="16" t="s">
        <v>1803</v>
      </c>
      <c r="E9" s="16" t="s">
        <v>1806</v>
      </c>
      <c r="F9" s="16" t="s">
        <v>1800</v>
      </c>
      <c r="G9" s="16">
        <v>30</v>
      </c>
      <c r="H9" s="16" t="s">
        <v>454</v>
      </c>
      <c r="I9" s="16">
        <v>19</v>
      </c>
      <c r="J9" s="16">
        <v>19</v>
      </c>
      <c r="K9" s="15">
        <f t="shared" si="0"/>
        <v>1</v>
      </c>
      <c r="L9" s="15">
        <f t="shared" si="1"/>
        <v>1</v>
      </c>
      <c r="M9" s="15" t="str">
        <f t="shared" si="2"/>
        <v>预决赛</v>
      </c>
      <c r="N9" s="15" t="str">
        <f t="shared" si="3"/>
        <v>预决赛</v>
      </c>
      <c r="O9" s="15" t="str">
        <f t="shared" si="4"/>
        <v>取前６名</v>
      </c>
      <c r="P9" s="15" t="str">
        <f>IF(N9="预赛","取前８名进决赛",IF(J9&gt;7,"取前６名",IF(J9&lt;2,"不比赛","取前"&amp;J9-1&amp;"名")))</f>
        <v>取前６名</v>
      </c>
      <c r="Q9" t="s">
        <v>474</v>
      </c>
      <c r="R9" s="15" t="str">
        <f t="shared" si="6"/>
        <v>男子垒球预决赛19人1组取前６名</v>
      </c>
      <c r="S9" s="15" t="str">
        <f t="shared" si="7"/>
        <v>女子垒球预决赛19人1组取前６名</v>
      </c>
      <c r="U9" s="246" t="s">
        <v>19</v>
      </c>
      <c r="V9" s="246" t="s">
        <v>1</v>
      </c>
    </row>
    <row r="10" spans="1:22" s="15" customFormat="1">
      <c r="A10" s="16" t="s">
        <v>1817</v>
      </c>
      <c r="B10" s="16" t="s">
        <v>1815</v>
      </c>
      <c r="C10" s="16" t="s">
        <v>1816</v>
      </c>
      <c r="D10" s="16" t="s">
        <v>1787</v>
      </c>
      <c r="E10" s="16" t="s">
        <v>1788</v>
      </c>
      <c r="F10" s="16" t="s">
        <v>1789</v>
      </c>
      <c r="G10" s="16"/>
      <c r="H10" s="16"/>
      <c r="I10" s="16">
        <v>1</v>
      </c>
      <c r="J10" s="16">
        <v>2</v>
      </c>
      <c r="K10" s="16"/>
      <c r="L10" s="16"/>
      <c r="U10" s="15" t="s">
        <v>20</v>
      </c>
      <c r="V10" s="15" t="s">
        <v>21</v>
      </c>
    </row>
    <row r="11" spans="1:22" s="15" customFormat="1">
      <c r="A11" s="16" t="s">
        <v>1817</v>
      </c>
      <c r="B11" s="16" t="s">
        <v>1818</v>
      </c>
      <c r="C11" s="16" t="s">
        <v>1819</v>
      </c>
      <c r="D11" s="16" t="s">
        <v>1787</v>
      </c>
      <c r="E11" s="16" t="s">
        <v>1792</v>
      </c>
      <c r="F11" s="16" t="s">
        <v>1793</v>
      </c>
      <c r="G11" s="16"/>
      <c r="H11" s="16">
        <v>2</v>
      </c>
      <c r="I11" s="16" t="s">
        <v>22</v>
      </c>
      <c r="J11" s="16" t="s">
        <v>23</v>
      </c>
      <c r="K11" s="16"/>
      <c r="L11" s="16"/>
      <c r="M11" s="16"/>
      <c r="N11" s="16"/>
      <c r="R11" s="15" t="s">
        <v>416</v>
      </c>
    </row>
    <row r="12" spans="1:22" s="15" customFormat="1">
      <c r="A12" s="16" t="s">
        <v>1817</v>
      </c>
      <c r="B12" s="16" t="s">
        <v>1820</v>
      </c>
      <c r="C12" s="16" t="s">
        <v>1821</v>
      </c>
      <c r="D12" s="16" t="s">
        <v>1787</v>
      </c>
      <c r="E12" s="16" t="s">
        <v>1806</v>
      </c>
      <c r="F12" s="16" t="s">
        <v>1800</v>
      </c>
      <c r="G12" s="15">
        <v>8</v>
      </c>
      <c r="H12" s="15" t="s">
        <v>461</v>
      </c>
      <c r="I12">
        <v>9</v>
      </c>
      <c r="J12">
        <v>12</v>
      </c>
      <c r="K12" s="15">
        <f>ROUNDUP(I12/G12,0)</f>
        <v>2</v>
      </c>
      <c r="L12" s="15">
        <f>ROUNDUP(J12/G12,0)</f>
        <v>2</v>
      </c>
      <c r="M12" s="15" t="str">
        <f>IF(K12&gt;1,"预赛","预决赛")</f>
        <v>预赛</v>
      </c>
      <c r="N12" s="15" t="str">
        <f>IF(L12&gt;1,"预赛","预决赛")</f>
        <v>预赛</v>
      </c>
      <c r="O12" s="15" t="str">
        <f>IF(M12="预赛","取前８名进决赛",IF(I12&gt;7,"取前６名",IF(I12&lt;2,"不比赛","取前"&amp;I12-1&amp;"名")))</f>
        <v>取前８名进决赛</v>
      </c>
      <c r="P12" s="15" t="str">
        <f>IF(N12="预赛","取前８名进决赛",IF(J12&gt;7,"取前６名",IF(J12&lt;2,"不比赛","取前"&amp;J12-1&amp;"名")))</f>
        <v>取前８名进决赛</v>
      </c>
      <c r="Q12" s="15" t="s">
        <v>480</v>
      </c>
      <c r="R12" s="15" t="str">
        <f>"男子"&amp;$H12&amp;M12&amp;I12&amp;"人"&amp;K12&amp;"组"&amp;O12</f>
        <v>男子100米预赛9人2组取前８名进决赛</v>
      </c>
      <c r="S12" s="15" t="str">
        <f>"女子"&amp;$H12&amp;N12&amp;J12&amp;"人"&amp;L12&amp;"组"&amp;P12</f>
        <v>女子100米预赛12人2组取前８名进决赛</v>
      </c>
      <c r="U12" s="248" t="s">
        <v>24</v>
      </c>
      <c r="V12" s="248" t="s">
        <v>25</v>
      </c>
    </row>
    <row r="13" spans="1:22" s="15" customFormat="1">
      <c r="A13" s="15" t="s">
        <v>1817</v>
      </c>
      <c r="B13" s="15" t="s">
        <v>1822</v>
      </c>
      <c r="C13" s="15" t="s">
        <v>1823</v>
      </c>
      <c r="D13" s="15" t="s">
        <v>1787</v>
      </c>
      <c r="E13" s="15" t="s">
        <v>1796</v>
      </c>
      <c r="F13" s="15" t="s">
        <v>1799</v>
      </c>
      <c r="G13" s="16">
        <v>8</v>
      </c>
      <c r="H13" s="17" t="s">
        <v>452</v>
      </c>
      <c r="I13" s="15">
        <v>9</v>
      </c>
      <c r="J13" s="15">
        <v>12</v>
      </c>
      <c r="K13" s="15">
        <f t="shared" ref="K13:K19" si="8">ROUNDUP(I13/G13,0)</f>
        <v>2</v>
      </c>
      <c r="L13" s="15">
        <f t="shared" ref="L13:L19" si="9">ROUNDUP(J13/G13,0)</f>
        <v>2</v>
      </c>
      <c r="M13" s="15" t="str">
        <f t="shared" ref="M13:M19" si="10">IF(K13&gt;1,"预赛","预决赛")</f>
        <v>预赛</v>
      </c>
      <c r="N13" s="15" t="str">
        <f t="shared" ref="N13:N19" si="11">IF(L13&gt;1,"预赛","预决赛")</f>
        <v>预赛</v>
      </c>
      <c r="O13" s="15" t="str">
        <f t="shared" ref="O13:O19" si="12">IF(M13="预赛","取前８名进决赛",IF(I13&gt;7,"取前６名",IF(I13&lt;2,"不比赛","取前"&amp;I13-1&amp;"名")))</f>
        <v>取前８名进决赛</v>
      </c>
      <c r="P13" s="15" t="str">
        <f t="shared" ref="P13:P19" si="13">IF(N13="预赛","取前８名进决赛",IF(J13&gt;7,"取前６名",IF(J13&lt;2,"不比赛","取前"&amp;J13-1&amp;"名")))</f>
        <v>取前８名进决赛</v>
      </c>
      <c r="Q13" s="15" t="s">
        <v>480</v>
      </c>
      <c r="R13" s="15" t="str">
        <f t="shared" ref="R13:R19" si="14">"男子"&amp;$H13&amp;M13&amp;I13&amp;"人"&amp;K13&amp;"组"&amp;O13</f>
        <v>男子200米预赛9人2组取前８名进决赛</v>
      </c>
      <c r="S13" s="15" t="str">
        <f t="shared" ref="S13:S19" si="15">"女子"&amp;$H13&amp;N13&amp;J13&amp;"人"&amp;L13&amp;"组"&amp;P13</f>
        <v>女子200米预赛12人2组取前８名进决赛</v>
      </c>
      <c r="U13" s="249" t="s">
        <v>26</v>
      </c>
      <c r="V13" s="249" t="s">
        <v>27</v>
      </c>
    </row>
    <row r="14" spans="1:22" s="15" customFormat="1">
      <c r="A14" s="15" t="s">
        <v>1817</v>
      </c>
      <c r="B14" s="15" t="s">
        <v>1824</v>
      </c>
      <c r="C14" s="15" t="s">
        <v>1825</v>
      </c>
      <c r="D14" s="15" t="s">
        <v>1803</v>
      </c>
      <c r="E14" s="15" t="s">
        <v>1788</v>
      </c>
      <c r="F14" s="15" t="s">
        <v>1789</v>
      </c>
      <c r="G14" s="17">
        <v>8</v>
      </c>
      <c r="H14" s="16" t="s">
        <v>453</v>
      </c>
      <c r="I14" s="16">
        <v>12</v>
      </c>
      <c r="J14" s="16">
        <v>9</v>
      </c>
      <c r="K14" s="15">
        <f t="shared" si="8"/>
        <v>2</v>
      </c>
      <c r="L14" s="15" t="b">
        <f>M8=ROUNDUP(J14/G14,0)</f>
        <v>0</v>
      </c>
      <c r="M14" s="15" t="str">
        <f t="shared" si="10"/>
        <v>预赛</v>
      </c>
      <c r="N14" s="15" t="str">
        <f t="shared" si="11"/>
        <v>预赛</v>
      </c>
      <c r="O14" s="15" t="str">
        <f t="shared" si="12"/>
        <v>取前８名进决赛</v>
      </c>
      <c r="P14" s="15" t="str">
        <f t="shared" si="13"/>
        <v>取前８名进决赛</v>
      </c>
      <c r="Q14" s="15" t="s">
        <v>480</v>
      </c>
      <c r="R14" s="15" t="str">
        <f t="shared" si="14"/>
        <v>男子400米预赛12人2组取前８名进决赛</v>
      </c>
      <c r="S14" s="15" t="str">
        <f t="shared" si="15"/>
        <v>女子400米预赛9人FALSE组取前８名进决赛</v>
      </c>
      <c r="U14" s="249" t="s">
        <v>136</v>
      </c>
      <c r="V14" s="249" t="s">
        <v>137</v>
      </c>
    </row>
    <row r="15" spans="1:22" s="15" customFormat="1">
      <c r="A15" s="15" t="s">
        <v>1817</v>
      </c>
      <c r="B15" s="15" t="s">
        <v>1826</v>
      </c>
      <c r="C15" s="15" t="s">
        <v>1827</v>
      </c>
      <c r="D15" s="15" t="s">
        <v>1803</v>
      </c>
      <c r="E15" s="15" t="s">
        <v>1796</v>
      </c>
      <c r="F15" s="15" t="s">
        <v>1799</v>
      </c>
      <c r="G15" s="16">
        <v>17</v>
      </c>
      <c r="H15" s="16" t="s">
        <v>421</v>
      </c>
      <c r="I15" s="17">
        <v>11</v>
      </c>
      <c r="J15" s="17">
        <v>10</v>
      </c>
      <c r="K15" s="15">
        <f t="shared" si="8"/>
        <v>1</v>
      </c>
      <c r="L15" s="15">
        <f t="shared" si="9"/>
        <v>1</v>
      </c>
      <c r="M15" s="15" t="str">
        <f t="shared" si="10"/>
        <v>预决赛</v>
      </c>
      <c r="N15" s="15" t="str">
        <f t="shared" si="11"/>
        <v>预决赛</v>
      </c>
      <c r="O15" s="15" t="str">
        <f t="shared" si="12"/>
        <v>取前６名</v>
      </c>
      <c r="P15" s="15" t="str">
        <f t="shared" si="13"/>
        <v>取前６名</v>
      </c>
      <c r="Q15" s="15" t="s">
        <v>480</v>
      </c>
      <c r="R15" s="15" t="str">
        <f t="shared" si="14"/>
        <v>男子中长跑预决赛11人1组取前６名</v>
      </c>
      <c r="S15" s="15" t="str">
        <f t="shared" si="15"/>
        <v>女子中长跑预决赛10人1组取前６名</v>
      </c>
      <c r="U15" s="246" t="s">
        <v>28</v>
      </c>
      <c r="V15" s="246" t="s">
        <v>29</v>
      </c>
    </row>
    <row r="16" spans="1:22">
      <c r="A16" t="s">
        <v>1817</v>
      </c>
      <c r="B16" t="s">
        <v>1828</v>
      </c>
      <c r="C16" t="s">
        <v>1829</v>
      </c>
      <c r="D16" t="s">
        <v>1803</v>
      </c>
      <c r="E16" t="s">
        <v>1806</v>
      </c>
      <c r="F16" t="s">
        <v>1800</v>
      </c>
      <c r="G16" s="16">
        <v>30</v>
      </c>
      <c r="H16" s="16" t="s">
        <v>466</v>
      </c>
      <c r="I16" s="16">
        <v>11</v>
      </c>
      <c r="J16" s="16">
        <v>10</v>
      </c>
      <c r="K16" s="15">
        <f t="shared" si="8"/>
        <v>1</v>
      </c>
      <c r="L16" s="15">
        <f>ROUNDUP(J16/G16,0)</f>
        <v>1</v>
      </c>
      <c r="M16" s="15" t="str">
        <f t="shared" si="10"/>
        <v>预决赛</v>
      </c>
      <c r="N16" s="15" t="str">
        <f t="shared" si="11"/>
        <v>预决赛</v>
      </c>
      <c r="O16" s="15" t="str">
        <f t="shared" si="12"/>
        <v>取前６名</v>
      </c>
      <c r="P16" s="15" t="str">
        <f t="shared" si="13"/>
        <v>取前６名</v>
      </c>
      <c r="Q16" s="15" t="s">
        <v>480</v>
      </c>
      <c r="R16" s="15" t="str">
        <f t="shared" si="14"/>
        <v>男子跳高预决赛11人1组取前６名</v>
      </c>
      <c r="S16" s="15" t="str">
        <f t="shared" si="15"/>
        <v>女子跳高预决赛10人1组取前６名</v>
      </c>
      <c r="U16" s="247" t="s">
        <v>30</v>
      </c>
      <c r="V16" s="247" t="s">
        <v>31</v>
      </c>
    </row>
    <row r="17" spans="1:22">
      <c r="A17" t="s">
        <v>1817</v>
      </c>
      <c r="B17" t="s">
        <v>1830</v>
      </c>
      <c r="C17" t="s">
        <v>1831</v>
      </c>
      <c r="D17" t="s">
        <v>1803</v>
      </c>
      <c r="E17" t="s">
        <v>1792</v>
      </c>
      <c r="F17" t="s">
        <v>1793</v>
      </c>
      <c r="G17" s="16">
        <v>30</v>
      </c>
      <c r="H17" s="16" t="s">
        <v>467</v>
      </c>
      <c r="I17" s="16">
        <v>12</v>
      </c>
      <c r="J17" s="16">
        <v>9</v>
      </c>
      <c r="K17" s="15">
        <f t="shared" si="8"/>
        <v>1</v>
      </c>
      <c r="L17" s="15">
        <f t="shared" si="9"/>
        <v>1</v>
      </c>
      <c r="M17" s="15" t="str">
        <f t="shared" si="10"/>
        <v>预决赛</v>
      </c>
      <c r="N17" s="15" t="str">
        <f t="shared" si="11"/>
        <v>预决赛</v>
      </c>
      <c r="O17" s="15" t="str">
        <f t="shared" si="12"/>
        <v>取前６名</v>
      </c>
      <c r="P17" s="15" t="str">
        <f t="shared" si="13"/>
        <v>取前６名</v>
      </c>
      <c r="Q17" s="15" t="s">
        <v>480</v>
      </c>
      <c r="R17" s="15" t="str">
        <f t="shared" si="14"/>
        <v>男子跳远预决赛12人1组取前６名</v>
      </c>
      <c r="S17" s="15" t="str">
        <f t="shared" si="15"/>
        <v>女子跳远预决赛9人1组取前６名</v>
      </c>
      <c r="U17" s="247" t="s">
        <v>32</v>
      </c>
      <c r="V17" s="247" t="s">
        <v>33</v>
      </c>
    </row>
    <row r="18" spans="1:22">
      <c r="A18" t="s">
        <v>1834</v>
      </c>
      <c r="B18">
        <v>1131</v>
      </c>
      <c r="C18" t="s">
        <v>1836</v>
      </c>
      <c r="D18" t="s">
        <v>1787</v>
      </c>
      <c r="E18" t="s">
        <v>1788</v>
      </c>
      <c r="F18" t="s">
        <v>1789</v>
      </c>
      <c r="G18" s="16">
        <v>30</v>
      </c>
      <c r="H18" s="16" t="s">
        <v>469</v>
      </c>
      <c r="I18" s="16">
        <v>10</v>
      </c>
      <c r="J18" s="16">
        <v>11</v>
      </c>
      <c r="K18" s="15">
        <f>ROUNDUP(I18/G18,0)</f>
        <v>1</v>
      </c>
      <c r="L18" s="15">
        <f>ROUNDUP(J18/G18,0)</f>
        <v>1</v>
      </c>
      <c r="M18" s="15" t="str">
        <f t="shared" si="10"/>
        <v>预决赛</v>
      </c>
      <c r="N18" s="15" t="str">
        <f t="shared" si="11"/>
        <v>预决赛</v>
      </c>
      <c r="O18" s="15" t="str">
        <f t="shared" si="12"/>
        <v>取前６名</v>
      </c>
      <c r="P18" s="15" t="str">
        <f t="shared" si="13"/>
        <v>取前６名</v>
      </c>
      <c r="Q18" s="15" t="s">
        <v>480</v>
      </c>
      <c r="R18" s="15" t="str">
        <f t="shared" si="14"/>
        <v>男子实心球预决赛10人1组取前６名</v>
      </c>
      <c r="S18" s="15" t="str">
        <f t="shared" si="15"/>
        <v>女子实心球预决赛11人1组取前６名</v>
      </c>
      <c r="U18" s="247" t="s">
        <v>34</v>
      </c>
      <c r="V18" s="247" t="s">
        <v>35</v>
      </c>
    </row>
    <row r="19" spans="1:22">
      <c r="A19" t="s">
        <v>1834</v>
      </c>
      <c r="B19">
        <v>1132</v>
      </c>
      <c r="C19" t="s">
        <v>1837</v>
      </c>
      <c r="D19" t="s">
        <v>1787</v>
      </c>
      <c r="E19" t="s">
        <v>1792</v>
      </c>
      <c r="F19" t="s">
        <v>1793</v>
      </c>
      <c r="G19" s="16">
        <v>30</v>
      </c>
      <c r="H19" s="16" t="s">
        <v>470</v>
      </c>
      <c r="I19" s="16">
        <v>10</v>
      </c>
      <c r="J19" s="16">
        <v>11</v>
      </c>
      <c r="K19" s="15">
        <f t="shared" si="8"/>
        <v>1</v>
      </c>
      <c r="L19" s="15">
        <f t="shared" si="9"/>
        <v>1</v>
      </c>
      <c r="M19" s="15" t="str">
        <f t="shared" si="10"/>
        <v>预决赛</v>
      </c>
      <c r="N19" s="15" t="str">
        <f t="shared" si="11"/>
        <v>预决赛</v>
      </c>
      <c r="O19" s="15" t="str">
        <f t="shared" si="12"/>
        <v>取前６名</v>
      </c>
      <c r="P19" s="15" t="str">
        <f t="shared" si="13"/>
        <v>取前６名</v>
      </c>
      <c r="Q19" s="15" t="s">
        <v>480</v>
      </c>
      <c r="R19" s="15" t="str">
        <f t="shared" si="14"/>
        <v>男子铅球预决赛10人1组取前６名</v>
      </c>
      <c r="S19" s="15" t="str">
        <f t="shared" si="15"/>
        <v>女子铅球预决赛11人1组取前６名</v>
      </c>
      <c r="U19" s="247" t="s">
        <v>34</v>
      </c>
      <c r="V19" s="247" t="s">
        <v>35</v>
      </c>
    </row>
    <row r="20" spans="1:22">
      <c r="A20" t="s">
        <v>1834</v>
      </c>
      <c r="B20">
        <v>1133</v>
      </c>
      <c r="C20" t="s">
        <v>1838</v>
      </c>
      <c r="D20" t="s">
        <v>1787</v>
      </c>
      <c r="E20" t="s">
        <v>1796</v>
      </c>
      <c r="F20" t="s">
        <v>1799</v>
      </c>
      <c r="H20" s="16"/>
      <c r="I20" s="16">
        <v>0</v>
      </c>
      <c r="J20" s="16">
        <v>28</v>
      </c>
      <c r="K20" s="16"/>
      <c r="L20" s="16"/>
      <c r="M20" s="15"/>
      <c r="N20" s="15"/>
      <c r="O20" s="15"/>
      <c r="P20" s="15"/>
      <c r="Q20" s="15"/>
      <c r="V20" t="s">
        <v>36</v>
      </c>
    </row>
    <row r="21" spans="1:22">
      <c r="A21" t="s">
        <v>1834</v>
      </c>
      <c r="B21">
        <v>1134</v>
      </c>
      <c r="C21" t="s">
        <v>1839</v>
      </c>
      <c r="D21" t="s">
        <v>1787</v>
      </c>
      <c r="E21" t="s">
        <v>1806</v>
      </c>
      <c r="F21" t="s">
        <v>1800</v>
      </c>
      <c r="H21" s="16">
        <v>3</v>
      </c>
      <c r="I21" s="16" t="s">
        <v>22</v>
      </c>
      <c r="J21" s="16" t="s">
        <v>23</v>
      </c>
      <c r="K21" s="16"/>
      <c r="L21" s="16"/>
      <c r="M21" s="15"/>
      <c r="N21" s="15"/>
      <c r="O21" s="15"/>
      <c r="P21" s="15"/>
      <c r="Q21" s="15"/>
      <c r="R21" t="s">
        <v>418</v>
      </c>
    </row>
    <row r="22" spans="1:22">
      <c r="A22" t="s">
        <v>1834</v>
      </c>
      <c r="B22">
        <v>1135</v>
      </c>
      <c r="C22" t="s">
        <v>1840</v>
      </c>
      <c r="D22" s="174" t="s">
        <v>1803</v>
      </c>
      <c r="E22" t="s">
        <v>1788</v>
      </c>
      <c r="F22" t="s">
        <v>1789</v>
      </c>
      <c r="G22" s="15">
        <v>8</v>
      </c>
      <c r="H22" s="15" t="s">
        <v>461</v>
      </c>
      <c r="I22">
        <v>8</v>
      </c>
      <c r="J22">
        <v>5</v>
      </c>
      <c r="K22" s="15">
        <f>ROUNDUP(I22/G22,0)</f>
        <v>1</v>
      </c>
      <c r="L22" s="15">
        <f>ROUNDUP(J22/G22,0)</f>
        <v>1</v>
      </c>
      <c r="M22" s="15" t="str">
        <f>IF(K22&gt;1,"预赛","预决赛")</f>
        <v>预决赛</v>
      </c>
      <c r="N22" s="15" t="str">
        <f>IF(L22&gt;1,"预赛","预决赛")</f>
        <v>预决赛</v>
      </c>
      <c r="O22" s="15" t="str">
        <f>IF(M22="预赛","取前８名进决赛",IF(I22&gt;7,"取前６名",IF(I22&lt;2,"不比赛","取前"&amp;I22-1&amp;"名")))</f>
        <v>取前６名</v>
      </c>
      <c r="P22" s="15" t="str">
        <f>IF(N22="预赛","取前８名进决赛",IF(J22&gt;7,"取前６名",IF(J22&lt;2,"不比赛","取前"&amp;J22-1&amp;"名")))</f>
        <v>取前4名</v>
      </c>
      <c r="Q22" t="s">
        <v>481</v>
      </c>
      <c r="R22" s="15" t="str">
        <f>"男子"&amp;$H22&amp;M22&amp;I22&amp;"人"&amp;K22&amp;"组"&amp;O22</f>
        <v>男子100米预决赛8人1组取前６名</v>
      </c>
      <c r="S22" s="15" t="str">
        <f>"女子"&amp;$H22&amp;N22&amp;J22&amp;"人"&amp;L22&amp;"组"&amp;P22</f>
        <v>女子100米预决赛5人1组取前4名</v>
      </c>
      <c r="U22" s="247" t="s">
        <v>37</v>
      </c>
      <c r="V22" s="247" t="s">
        <v>38</v>
      </c>
    </row>
    <row r="23" spans="1:22">
      <c r="A23" t="s">
        <v>1834</v>
      </c>
      <c r="B23">
        <v>1136</v>
      </c>
      <c r="C23" t="s">
        <v>1841</v>
      </c>
      <c r="D23" t="s">
        <v>1803</v>
      </c>
      <c r="E23" t="s">
        <v>1792</v>
      </c>
      <c r="F23" t="s">
        <v>1806</v>
      </c>
      <c r="G23" s="16">
        <v>8</v>
      </c>
      <c r="H23" s="17" t="s">
        <v>452</v>
      </c>
      <c r="I23" s="15">
        <v>7</v>
      </c>
      <c r="J23" s="15">
        <v>8</v>
      </c>
      <c r="K23" s="15">
        <f t="shared" ref="K23:K29" si="16">ROUNDUP(I23/G23,0)</f>
        <v>1</v>
      </c>
      <c r="L23" s="15">
        <f t="shared" ref="L23:L29" si="17">ROUNDUP(J23/G23,0)</f>
        <v>1</v>
      </c>
      <c r="M23" s="15" t="str">
        <f t="shared" ref="M23:M29" si="18">IF(K23&gt;1,"预赛","预决赛")</f>
        <v>预决赛</v>
      </c>
      <c r="N23" s="15" t="str">
        <f t="shared" ref="N23:N29" si="19">IF(L23&gt;1,"预赛","预决赛")</f>
        <v>预决赛</v>
      </c>
      <c r="O23" s="15" t="str">
        <f t="shared" ref="O23:O29" si="20">IF(M23="预赛","取前８名进决赛",IF(I23&gt;7,"取前６名",IF(I23&lt;2,"不比赛","取前"&amp;I23-1&amp;"名")))</f>
        <v>取前6名</v>
      </c>
      <c r="P23" s="15" t="str">
        <f t="shared" ref="P23:P29" si="21">IF(N23="预赛","取前８名进决赛",IF(J23&gt;7,"取前６名",IF(J23&lt;2,"不比赛","取前"&amp;J23-1&amp;"名")))</f>
        <v>取前６名</v>
      </c>
      <c r="Q23" t="s">
        <v>481</v>
      </c>
      <c r="R23" s="15" t="str">
        <f t="shared" ref="R23:R29" si="22">"男子"&amp;$H23&amp;M23&amp;I23&amp;"人"&amp;K23&amp;"组"&amp;O23</f>
        <v>男子200米预决赛7人1组取前6名</v>
      </c>
      <c r="S23" s="15" t="str">
        <f t="shared" ref="S23:S29" si="23">"女子"&amp;$H23&amp;N23&amp;J23&amp;"人"&amp;L23&amp;"组"&amp;P23</f>
        <v>女子200米预决赛8人1组取前６名</v>
      </c>
      <c r="U23" s="247" t="s">
        <v>39</v>
      </c>
      <c r="V23" s="247" t="s">
        <v>40</v>
      </c>
    </row>
    <row r="24" spans="1:22">
      <c r="A24" t="s">
        <v>1834</v>
      </c>
      <c r="B24">
        <v>1137</v>
      </c>
      <c r="C24" t="s">
        <v>1842</v>
      </c>
      <c r="D24" t="s">
        <v>1803</v>
      </c>
      <c r="E24" t="s">
        <v>1793</v>
      </c>
      <c r="F24" t="s">
        <v>1800</v>
      </c>
      <c r="G24" s="17">
        <v>17</v>
      </c>
      <c r="H24" s="16" t="s">
        <v>453</v>
      </c>
      <c r="I24" s="16">
        <v>8</v>
      </c>
      <c r="J24" s="16">
        <v>7</v>
      </c>
      <c r="K24" s="15">
        <f t="shared" si="16"/>
        <v>1</v>
      </c>
      <c r="L24" s="15">
        <f t="shared" si="17"/>
        <v>1</v>
      </c>
      <c r="M24" s="15" t="str">
        <f t="shared" si="18"/>
        <v>预决赛</v>
      </c>
      <c r="N24" s="15" t="str">
        <f t="shared" si="19"/>
        <v>预决赛</v>
      </c>
      <c r="O24" s="15" t="str">
        <f t="shared" si="20"/>
        <v>取前６名</v>
      </c>
      <c r="P24" s="15" t="str">
        <f t="shared" si="21"/>
        <v>取前6名</v>
      </c>
      <c r="Q24" t="s">
        <v>481</v>
      </c>
      <c r="R24" s="15" t="str">
        <f t="shared" si="22"/>
        <v>男子400米预决赛8人1组取前６名</v>
      </c>
      <c r="S24" s="15" t="str">
        <f t="shared" si="23"/>
        <v>女子400米预决赛7人1组取前6名</v>
      </c>
      <c r="U24" s="247" t="s">
        <v>41</v>
      </c>
      <c r="V24" s="247" t="s">
        <v>42</v>
      </c>
    </row>
    <row r="25" spans="1:22">
      <c r="A25" t="s">
        <v>1834</v>
      </c>
      <c r="B25">
        <v>1138</v>
      </c>
      <c r="C25" t="s">
        <v>1843</v>
      </c>
      <c r="D25" t="s">
        <v>1803</v>
      </c>
      <c r="E25" t="s">
        <v>1796</v>
      </c>
      <c r="F25" t="s">
        <v>1799</v>
      </c>
      <c r="G25" s="16">
        <v>17</v>
      </c>
      <c r="H25" s="16" t="s">
        <v>421</v>
      </c>
      <c r="I25" s="17">
        <v>8</v>
      </c>
      <c r="J25" s="17">
        <v>8</v>
      </c>
      <c r="K25" s="15">
        <f t="shared" si="16"/>
        <v>1</v>
      </c>
      <c r="L25" s="15">
        <f t="shared" si="17"/>
        <v>1</v>
      </c>
      <c r="M25" s="15" t="str">
        <f t="shared" si="18"/>
        <v>预决赛</v>
      </c>
      <c r="N25" s="15" t="str">
        <f t="shared" si="19"/>
        <v>预决赛</v>
      </c>
      <c r="O25" s="15" t="str">
        <f t="shared" si="20"/>
        <v>取前６名</v>
      </c>
      <c r="P25" s="15" t="str">
        <f t="shared" si="21"/>
        <v>取前６名</v>
      </c>
      <c r="Q25" t="s">
        <v>481</v>
      </c>
      <c r="R25" s="15" t="str">
        <f>"男子"&amp;$H25&amp;M25&amp;I25&amp;"人"&amp;K25&amp;"组"&amp;O25</f>
        <v>男子中长跑预决赛8人1组取前６名</v>
      </c>
      <c r="S25" s="15" t="str">
        <f t="shared" si="23"/>
        <v>女子中长跑预决赛8人1组取前６名</v>
      </c>
      <c r="U25" s="247" t="s">
        <v>43</v>
      </c>
      <c r="V25" s="247" t="s">
        <v>44</v>
      </c>
    </row>
    <row r="26" spans="1:22">
      <c r="A26" t="s">
        <v>1846</v>
      </c>
      <c r="B26">
        <v>1141</v>
      </c>
      <c r="C26" t="s">
        <v>1848</v>
      </c>
      <c r="D26" t="s">
        <v>1787</v>
      </c>
      <c r="E26" t="s">
        <v>1788</v>
      </c>
      <c r="F26" t="s">
        <v>1789</v>
      </c>
      <c r="G26" s="16">
        <v>30</v>
      </c>
      <c r="H26" s="16" t="s">
        <v>466</v>
      </c>
      <c r="I26" s="16">
        <v>7</v>
      </c>
      <c r="J26" s="16">
        <v>7</v>
      </c>
      <c r="K26" s="15">
        <f t="shared" si="16"/>
        <v>1</v>
      </c>
      <c r="L26" s="15">
        <f t="shared" si="17"/>
        <v>1</v>
      </c>
      <c r="M26" s="15" t="str">
        <f t="shared" si="18"/>
        <v>预决赛</v>
      </c>
      <c r="N26" s="15" t="str">
        <f t="shared" si="19"/>
        <v>预决赛</v>
      </c>
      <c r="O26" s="15" t="str">
        <f t="shared" si="20"/>
        <v>取前6名</v>
      </c>
      <c r="P26" s="15" t="str">
        <f t="shared" si="21"/>
        <v>取前6名</v>
      </c>
      <c r="Q26" t="s">
        <v>481</v>
      </c>
      <c r="R26" s="15" t="str">
        <f t="shared" si="22"/>
        <v>男子跳高预决赛7人1组取前6名</v>
      </c>
      <c r="S26" s="15" t="str">
        <f t="shared" si="23"/>
        <v>女子跳高预决赛7人1组取前6名</v>
      </c>
      <c r="U26" s="247" t="s">
        <v>45</v>
      </c>
      <c r="V26" s="247" t="s">
        <v>46</v>
      </c>
    </row>
    <row r="27" spans="1:22">
      <c r="A27" t="s">
        <v>1846</v>
      </c>
      <c r="B27">
        <v>1142</v>
      </c>
      <c r="C27" t="s">
        <v>1849</v>
      </c>
      <c r="D27" t="s">
        <v>1787</v>
      </c>
      <c r="E27" t="s">
        <v>1792</v>
      </c>
      <c r="F27" t="s">
        <v>1793</v>
      </c>
      <c r="G27" s="16">
        <v>30</v>
      </c>
      <c r="H27" s="16" t="s">
        <v>467</v>
      </c>
      <c r="I27" s="16">
        <v>8</v>
      </c>
      <c r="J27" s="16">
        <v>8</v>
      </c>
      <c r="K27" s="15">
        <f t="shared" si="16"/>
        <v>1</v>
      </c>
      <c r="L27" s="15">
        <f t="shared" si="17"/>
        <v>1</v>
      </c>
      <c r="M27" s="15" t="str">
        <f t="shared" si="18"/>
        <v>预决赛</v>
      </c>
      <c r="N27" s="15" t="str">
        <f t="shared" si="19"/>
        <v>预决赛</v>
      </c>
      <c r="O27" s="15" t="str">
        <f t="shared" si="20"/>
        <v>取前６名</v>
      </c>
      <c r="P27" s="15" t="str">
        <f t="shared" si="21"/>
        <v>取前６名</v>
      </c>
      <c r="Q27" t="s">
        <v>481</v>
      </c>
      <c r="R27" s="15" t="str">
        <f t="shared" si="22"/>
        <v>男子跳远预决赛8人1组取前６名</v>
      </c>
      <c r="S27" s="15" t="str">
        <f t="shared" si="23"/>
        <v>女子跳远预决赛8人1组取前６名</v>
      </c>
      <c r="U27" s="247" t="s">
        <v>4</v>
      </c>
      <c r="V27" s="247" t="s">
        <v>47</v>
      </c>
    </row>
    <row r="28" spans="1:22">
      <c r="A28" t="s">
        <v>1846</v>
      </c>
      <c r="B28">
        <v>1143</v>
      </c>
      <c r="C28" t="s">
        <v>1850</v>
      </c>
      <c r="D28" t="s">
        <v>1787</v>
      </c>
      <c r="E28" t="s">
        <v>1796</v>
      </c>
      <c r="F28" t="s">
        <v>1799</v>
      </c>
      <c r="G28" s="16">
        <v>30</v>
      </c>
      <c r="H28" s="16" t="s">
        <v>468</v>
      </c>
      <c r="I28" s="16">
        <v>7</v>
      </c>
      <c r="J28" s="16">
        <v>11</v>
      </c>
      <c r="K28" s="15">
        <f t="shared" si="16"/>
        <v>1</v>
      </c>
      <c r="L28" s="15">
        <f t="shared" si="17"/>
        <v>1</v>
      </c>
      <c r="M28" s="15" t="str">
        <f t="shared" si="18"/>
        <v>预决赛</v>
      </c>
      <c r="N28" s="15" t="str">
        <f t="shared" si="19"/>
        <v>预决赛</v>
      </c>
      <c r="O28" s="15" t="str">
        <f t="shared" si="20"/>
        <v>取前6名</v>
      </c>
      <c r="P28" s="15" t="str">
        <f t="shared" si="21"/>
        <v>取前６名</v>
      </c>
      <c r="Q28" t="s">
        <v>481</v>
      </c>
      <c r="R28" s="15" t="str">
        <f t="shared" si="22"/>
        <v>男子三级跳预决赛7人1组取前6名</v>
      </c>
      <c r="S28" s="15" t="str">
        <f t="shared" si="23"/>
        <v>女子三级跳预决赛11人1组取前６名</v>
      </c>
      <c r="U28" s="247" t="s">
        <v>48</v>
      </c>
      <c r="V28" s="247" t="s">
        <v>49</v>
      </c>
    </row>
    <row r="29" spans="1:22">
      <c r="A29" t="s">
        <v>1846</v>
      </c>
      <c r="B29">
        <v>1144</v>
      </c>
      <c r="C29" t="s">
        <v>1851</v>
      </c>
      <c r="D29" t="s">
        <v>1787</v>
      </c>
      <c r="E29" t="s">
        <v>1806</v>
      </c>
      <c r="F29" t="s">
        <v>1800</v>
      </c>
      <c r="G29" s="16">
        <v>30</v>
      </c>
      <c r="H29" s="16" t="s">
        <v>470</v>
      </c>
      <c r="I29" s="16">
        <v>7</v>
      </c>
      <c r="J29" s="16">
        <v>6</v>
      </c>
      <c r="K29" s="15">
        <f t="shared" si="16"/>
        <v>1</v>
      </c>
      <c r="L29" s="15">
        <f t="shared" si="17"/>
        <v>1</v>
      </c>
      <c r="M29" s="15" t="str">
        <f t="shared" si="18"/>
        <v>预决赛</v>
      </c>
      <c r="N29" s="15" t="str">
        <f t="shared" si="19"/>
        <v>预决赛</v>
      </c>
      <c r="O29" s="15" t="str">
        <f t="shared" si="20"/>
        <v>取前6名</v>
      </c>
      <c r="P29" s="15" t="str">
        <f t="shared" si="21"/>
        <v>取前5名</v>
      </c>
      <c r="Q29" t="s">
        <v>481</v>
      </c>
      <c r="R29" s="15" t="str">
        <f t="shared" si="22"/>
        <v>男子铅球预决赛7人1组取前6名</v>
      </c>
      <c r="S29" s="15" t="str">
        <f t="shared" si="23"/>
        <v>女子铅球预决赛6人1组取前5名</v>
      </c>
      <c r="U29" s="247" t="s">
        <v>50</v>
      </c>
      <c r="V29" s="247" t="s">
        <v>5</v>
      </c>
    </row>
    <row r="30" spans="1:22">
      <c r="A30" t="s">
        <v>1846</v>
      </c>
      <c r="B30">
        <v>1145</v>
      </c>
      <c r="C30" t="s">
        <v>1852</v>
      </c>
      <c r="D30" t="s">
        <v>1803</v>
      </c>
      <c r="E30" t="s">
        <v>1788</v>
      </c>
      <c r="F30" t="s">
        <v>1789</v>
      </c>
      <c r="H30" s="16"/>
      <c r="I30" s="16">
        <v>0</v>
      </c>
      <c r="J30" s="16">
        <v>20</v>
      </c>
      <c r="K30" s="16"/>
      <c r="L30" s="16"/>
      <c r="M30" s="15"/>
      <c r="N30" s="15"/>
      <c r="O30" s="15"/>
      <c r="P30" s="15"/>
      <c r="Q30" s="15"/>
      <c r="V30" t="s">
        <v>51</v>
      </c>
    </row>
    <row r="31" spans="1:22">
      <c r="A31" t="s">
        <v>1846</v>
      </c>
      <c r="B31">
        <v>1146</v>
      </c>
      <c r="C31" t="s">
        <v>1853</v>
      </c>
      <c r="D31" t="s">
        <v>1803</v>
      </c>
      <c r="E31" t="s">
        <v>1792</v>
      </c>
      <c r="F31" t="s">
        <v>1793</v>
      </c>
      <c r="H31" s="16">
        <v>4</v>
      </c>
      <c r="I31" s="16" t="s">
        <v>22</v>
      </c>
      <c r="J31" s="16" t="s">
        <v>23</v>
      </c>
      <c r="K31" s="16"/>
      <c r="L31" s="16"/>
      <c r="M31" s="15"/>
      <c r="N31" s="15"/>
      <c r="O31" s="15"/>
      <c r="P31" s="15"/>
      <c r="Q31" s="15"/>
    </row>
    <row r="32" spans="1:22">
      <c r="A32" t="s">
        <v>1846</v>
      </c>
      <c r="B32">
        <v>1147</v>
      </c>
      <c r="C32" t="s">
        <v>1854</v>
      </c>
      <c r="D32" t="s">
        <v>1803</v>
      </c>
      <c r="E32" t="s">
        <v>1796</v>
      </c>
      <c r="F32" t="s">
        <v>1799</v>
      </c>
      <c r="G32" s="15">
        <v>8</v>
      </c>
      <c r="H32" s="15" t="s">
        <v>461</v>
      </c>
      <c r="I32" s="16">
        <v>0</v>
      </c>
      <c r="J32" s="16">
        <v>0</v>
      </c>
      <c r="K32" s="15">
        <f>ROUNDUP(I32/G32,0)</f>
        <v>0</v>
      </c>
      <c r="L32" s="15">
        <f>ROUNDUP(J32/G32,0)</f>
        <v>0</v>
      </c>
      <c r="M32" s="15" t="str">
        <f t="shared" ref="M32:M42" si="24">IF(K32&gt;1,"预赛","预决赛")</f>
        <v>预决赛</v>
      </c>
      <c r="N32" s="15" t="str">
        <f t="shared" ref="N32:N42" si="25">IF(L32&gt;1,"预赛","预决赛")</f>
        <v>预决赛</v>
      </c>
      <c r="O32" s="15" t="str">
        <f t="shared" ref="O32:O42" si="26">IF(M32="预赛","取前８名进决赛",IF(I32&gt;7,"取前６名",IF(I32&lt;2,"不比赛","取前"&amp;I32-1&amp;"名")))</f>
        <v>不比赛</v>
      </c>
      <c r="P32" s="15" t="str">
        <f t="shared" ref="P32:P42" si="27">IF(N32="预赛","取前８名进决赛",IF(J32&gt;7,"取前６名",IF(J32&lt;2,"不比赛","取前"&amp;J32-1&amp;"名")))</f>
        <v>不比赛</v>
      </c>
      <c r="Q32" s="18" t="s">
        <v>482</v>
      </c>
      <c r="R32" s="15" t="str">
        <f>"男子"&amp;$H32&amp;M32&amp;I32&amp;"人"&amp;K32&amp;"组"&amp;O32</f>
        <v>男子100米预决赛0人0组不比赛</v>
      </c>
      <c r="S32" s="15" t="str">
        <f>"女子"&amp;$H32&amp;N32&amp;J32&amp;"人"&amp;L32&amp;"组"&amp;P32</f>
        <v>女子100米预决赛0人0组不比赛</v>
      </c>
    </row>
    <row r="33" spans="1:19">
      <c r="A33" t="s">
        <v>1846</v>
      </c>
      <c r="B33">
        <v>1148</v>
      </c>
      <c r="C33" t="s">
        <v>1855</v>
      </c>
      <c r="D33" t="s">
        <v>1803</v>
      </c>
      <c r="E33" t="s">
        <v>1806</v>
      </c>
      <c r="F33" t="s">
        <v>1800</v>
      </c>
      <c r="G33" s="16">
        <v>8</v>
      </c>
      <c r="H33" s="16" t="s">
        <v>462</v>
      </c>
      <c r="I33">
        <v>0</v>
      </c>
      <c r="J33">
        <v>0</v>
      </c>
      <c r="K33" s="15">
        <f t="shared" ref="K33:K40" si="28">ROUNDUP(I33/G33,0)</f>
        <v>0</v>
      </c>
      <c r="L33" s="15">
        <f t="shared" ref="L33:L40" si="29">ROUNDUP(J33/G33,0)</f>
        <v>0</v>
      </c>
      <c r="M33" s="15" t="str">
        <f t="shared" si="24"/>
        <v>预决赛</v>
      </c>
      <c r="N33" s="15" t="str">
        <f t="shared" si="25"/>
        <v>预决赛</v>
      </c>
      <c r="O33" s="15" t="str">
        <f t="shared" si="26"/>
        <v>不比赛</v>
      </c>
      <c r="P33" s="15" t="str">
        <f t="shared" si="27"/>
        <v>不比赛</v>
      </c>
      <c r="Q33" s="18" t="s">
        <v>482</v>
      </c>
      <c r="R33" s="15" t="str">
        <f t="shared" ref="R33:R40" si="30">"男子"&amp;$H33&amp;M33&amp;I33&amp;"人"&amp;K33&amp;"组"&amp;O33</f>
        <v>男子200米预决赛0人0组不比赛</v>
      </c>
      <c r="S33" s="15" t="str">
        <f t="shared" ref="S33:S40" si="31">"女子"&amp;$H33&amp;N33&amp;J33&amp;"人"&amp;L33&amp;"组"&amp;P33</f>
        <v>女子200米预决赛0人0组不比赛</v>
      </c>
    </row>
    <row r="34" spans="1:19">
      <c r="A34" t="s">
        <v>1858</v>
      </c>
      <c r="B34">
        <v>1301</v>
      </c>
      <c r="C34" t="s">
        <v>1860</v>
      </c>
      <c r="D34" t="s">
        <v>1787</v>
      </c>
      <c r="E34" t="s">
        <v>1788</v>
      </c>
      <c r="F34" t="s">
        <v>1789</v>
      </c>
      <c r="G34" s="17">
        <v>8</v>
      </c>
      <c r="H34" s="17" t="s">
        <v>463</v>
      </c>
      <c r="I34">
        <v>0</v>
      </c>
      <c r="J34">
        <v>0</v>
      </c>
      <c r="K34" s="15">
        <f t="shared" si="28"/>
        <v>0</v>
      </c>
      <c r="L34" s="15">
        <f t="shared" si="29"/>
        <v>0</v>
      </c>
      <c r="M34" s="15" t="str">
        <f t="shared" si="24"/>
        <v>预决赛</v>
      </c>
      <c r="N34" s="15" t="str">
        <f t="shared" si="25"/>
        <v>预决赛</v>
      </c>
      <c r="O34" s="15" t="str">
        <f t="shared" si="26"/>
        <v>不比赛</v>
      </c>
      <c r="P34" s="15" t="str">
        <f t="shared" si="27"/>
        <v>不比赛</v>
      </c>
      <c r="Q34" s="18" t="s">
        <v>482</v>
      </c>
      <c r="R34" s="15" t="str">
        <f t="shared" si="30"/>
        <v>男子400米预决赛0人0组不比赛</v>
      </c>
      <c r="S34" s="15" t="str">
        <f t="shared" si="31"/>
        <v>女子400米预决赛0人0组不比赛</v>
      </c>
    </row>
    <row r="35" spans="1:19">
      <c r="A35" t="s">
        <v>1858</v>
      </c>
      <c r="B35">
        <v>1302</v>
      </c>
      <c r="C35" t="s">
        <v>1861</v>
      </c>
      <c r="D35" t="s">
        <v>1787</v>
      </c>
      <c r="E35" t="s">
        <v>1796</v>
      </c>
      <c r="F35" t="s">
        <v>1800</v>
      </c>
      <c r="G35" s="16">
        <v>17</v>
      </c>
      <c r="H35" s="16" t="s">
        <v>478</v>
      </c>
      <c r="I35" s="15">
        <v>0</v>
      </c>
      <c r="J35" s="15">
        <v>0</v>
      </c>
      <c r="K35" s="15">
        <f t="shared" si="28"/>
        <v>0</v>
      </c>
      <c r="L35" s="15">
        <f t="shared" si="29"/>
        <v>0</v>
      </c>
      <c r="M35" s="15" t="str">
        <f t="shared" si="24"/>
        <v>预决赛</v>
      </c>
      <c r="N35" s="15" t="str">
        <f t="shared" si="25"/>
        <v>预决赛</v>
      </c>
      <c r="O35" s="15" t="str">
        <f t="shared" si="26"/>
        <v>不比赛</v>
      </c>
      <c r="P35" s="15" t="str">
        <f t="shared" si="27"/>
        <v>不比赛</v>
      </c>
      <c r="Q35" s="18" t="s">
        <v>482</v>
      </c>
      <c r="R35" s="15" t="str">
        <f t="shared" si="30"/>
        <v>男子3000米预决赛0人0组不比赛</v>
      </c>
      <c r="S35" s="15" t="str">
        <f t="shared" si="31"/>
        <v>女子3000米预决赛0人0组不比赛</v>
      </c>
    </row>
    <row r="36" spans="1:19">
      <c r="A36" t="s">
        <v>1858</v>
      </c>
      <c r="B36">
        <v>1303</v>
      </c>
      <c r="C36" t="s">
        <v>1862</v>
      </c>
      <c r="D36" t="s">
        <v>1787</v>
      </c>
      <c r="E36" t="s">
        <v>1792</v>
      </c>
      <c r="F36" t="s">
        <v>1793</v>
      </c>
      <c r="G36">
        <v>17</v>
      </c>
      <c r="H36" s="16" t="s">
        <v>465</v>
      </c>
      <c r="I36" s="16">
        <v>0</v>
      </c>
      <c r="J36" s="16">
        <v>0</v>
      </c>
      <c r="K36" s="15">
        <f t="shared" si="28"/>
        <v>0</v>
      </c>
      <c r="L36" s="15">
        <f>ROUNDUP(J36/G36,0)</f>
        <v>0</v>
      </c>
      <c r="M36" s="15" t="str">
        <f t="shared" si="24"/>
        <v>预决赛</v>
      </c>
      <c r="N36" s="15" t="str">
        <f t="shared" si="25"/>
        <v>预决赛</v>
      </c>
      <c r="O36" s="15" t="str">
        <f t="shared" si="26"/>
        <v>不比赛</v>
      </c>
      <c r="P36" s="15" t="str">
        <f t="shared" si="27"/>
        <v>不比赛</v>
      </c>
      <c r="Q36" s="18" t="s">
        <v>482</v>
      </c>
      <c r="R36" s="15" t="str">
        <f t="shared" si="30"/>
        <v>男子1500米预决赛0人0组不比赛</v>
      </c>
      <c r="S36" s="15" t="str">
        <f t="shared" si="31"/>
        <v>女子1500米预决赛0人0组不比赛</v>
      </c>
    </row>
    <row r="37" spans="1:19">
      <c r="A37" t="s">
        <v>1858</v>
      </c>
      <c r="B37">
        <v>1304</v>
      </c>
      <c r="C37" t="s">
        <v>1863</v>
      </c>
      <c r="D37" t="s">
        <v>1787</v>
      </c>
      <c r="E37" t="s">
        <v>1799</v>
      </c>
      <c r="F37" t="s">
        <v>1806</v>
      </c>
      <c r="G37">
        <v>30</v>
      </c>
      <c r="H37" s="16" t="s">
        <v>466</v>
      </c>
      <c r="I37" s="17">
        <v>0</v>
      </c>
      <c r="J37" s="17">
        <v>0</v>
      </c>
      <c r="K37" s="15">
        <f t="shared" si="28"/>
        <v>0</v>
      </c>
      <c r="L37" s="15">
        <f t="shared" si="29"/>
        <v>0</v>
      </c>
      <c r="M37" s="15" t="str">
        <f t="shared" si="24"/>
        <v>预决赛</v>
      </c>
      <c r="N37" s="15" t="str">
        <f t="shared" si="25"/>
        <v>预决赛</v>
      </c>
      <c r="O37" s="15" t="str">
        <f t="shared" si="26"/>
        <v>不比赛</v>
      </c>
      <c r="P37" s="15" t="str">
        <f t="shared" si="27"/>
        <v>不比赛</v>
      </c>
      <c r="Q37" s="18" t="s">
        <v>482</v>
      </c>
      <c r="R37" s="15" t="str">
        <f t="shared" si="30"/>
        <v>男子跳高预决赛0人0组不比赛</v>
      </c>
      <c r="S37" s="15" t="str">
        <f t="shared" si="31"/>
        <v>女子跳高预决赛0人0组不比赛</v>
      </c>
    </row>
    <row r="38" spans="1:19">
      <c r="A38" t="s">
        <v>1858</v>
      </c>
      <c r="B38">
        <v>1305</v>
      </c>
      <c r="C38" t="s">
        <v>1864</v>
      </c>
      <c r="D38" t="s">
        <v>1803</v>
      </c>
      <c r="E38" t="s">
        <v>1806</v>
      </c>
      <c r="F38" t="s">
        <v>1800</v>
      </c>
      <c r="G38">
        <v>30</v>
      </c>
      <c r="H38" s="16" t="s">
        <v>467</v>
      </c>
      <c r="I38" s="16">
        <v>0</v>
      </c>
      <c r="J38" s="16">
        <v>0</v>
      </c>
      <c r="K38" s="15">
        <f t="shared" si="28"/>
        <v>0</v>
      </c>
      <c r="L38" s="15">
        <f t="shared" si="29"/>
        <v>0</v>
      </c>
      <c r="M38" s="15" t="str">
        <f t="shared" si="24"/>
        <v>预决赛</v>
      </c>
      <c r="N38" s="15" t="str">
        <f t="shared" si="25"/>
        <v>预决赛</v>
      </c>
      <c r="O38" s="15" t="str">
        <f t="shared" si="26"/>
        <v>不比赛</v>
      </c>
      <c r="P38" s="15" t="str">
        <f t="shared" si="27"/>
        <v>不比赛</v>
      </c>
      <c r="Q38" s="18" t="s">
        <v>482</v>
      </c>
      <c r="R38" s="15" t="str">
        <f t="shared" si="30"/>
        <v>男子跳远预决赛0人0组不比赛</v>
      </c>
      <c r="S38" s="15" t="str">
        <f t="shared" si="31"/>
        <v>女子跳远预决赛0人0组不比赛</v>
      </c>
    </row>
    <row r="39" spans="1:19">
      <c r="A39" t="s">
        <v>1858</v>
      </c>
      <c r="B39">
        <v>1306</v>
      </c>
      <c r="C39" t="s">
        <v>1865</v>
      </c>
      <c r="D39" t="s">
        <v>1803</v>
      </c>
      <c r="E39" t="s">
        <v>1796</v>
      </c>
      <c r="F39" t="s">
        <v>1799</v>
      </c>
      <c r="G39">
        <v>30</v>
      </c>
      <c r="H39" s="16" t="s">
        <v>468</v>
      </c>
      <c r="I39" s="16">
        <v>0</v>
      </c>
      <c r="J39" s="16">
        <v>0</v>
      </c>
      <c r="K39" s="15">
        <f t="shared" si="28"/>
        <v>0</v>
      </c>
      <c r="L39" s="15">
        <f t="shared" si="29"/>
        <v>0</v>
      </c>
      <c r="M39" s="15" t="str">
        <f t="shared" si="24"/>
        <v>预决赛</v>
      </c>
      <c r="N39" s="15" t="str">
        <f t="shared" si="25"/>
        <v>预决赛</v>
      </c>
      <c r="O39" s="15" t="str">
        <f t="shared" si="26"/>
        <v>不比赛</v>
      </c>
      <c r="P39" s="15" t="str">
        <f t="shared" si="27"/>
        <v>不比赛</v>
      </c>
      <c r="Q39" s="18" t="s">
        <v>482</v>
      </c>
      <c r="R39" s="15" t="str">
        <f t="shared" si="30"/>
        <v>男子三级跳预决赛0人0组不比赛</v>
      </c>
      <c r="S39" s="15" t="str">
        <f t="shared" si="31"/>
        <v>女子三级跳预决赛0人0组不比赛</v>
      </c>
    </row>
    <row r="40" spans="1:19">
      <c r="A40" t="s">
        <v>1858</v>
      </c>
      <c r="B40">
        <v>1307</v>
      </c>
      <c r="C40" t="s">
        <v>1866</v>
      </c>
      <c r="D40" t="s">
        <v>1803</v>
      </c>
      <c r="E40" t="s">
        <v>1792</v>
      </c>
      <c r="F40" t="s">
        <v>1793</v>
      </c>
      <c r="G40">
        <v>30</v>
      </c>
      <c r="H40" s="16" t="s">
        <v>470</v>
      </c>
      <c r="I40" s="16">
        <v>0</v>
      </c>
      <c r="J40" s="16">
        <v>0</v>
      </c>
      <c r="K40" s="15">
        <f t="shared" si="28"/>
        <v>0</v>
      </c>
      <c r="L40" s="15">
        <f t="shared" si="29"/>
        <v>0</v>
      </c>
      <c r="M40" s="15" t="str">
        <f t="shared" si="24"/>
        <v>预决赛</v>
      </c>
      <c r="N40" s="15" t="str">
        <f t="shared" si="25"/>
        <v>预决赛</v>
      </c>
      <c r="O40" s="15" t="str">
        <f t="shared" si="26"/>
        <v>不比赛</v>
      </c>
      <c r="P40" s="15" t="str">
        <f t="shared" si="27"/>
        <v>不比赛</v>
      </c>
      <c r="Q40" s="18" t="s">
        <v>482</v>
      </c>
      <c r="R40" s="15" t="str">
        <f t="shared" si="30"/>
        <v>男子铅球预决赛0人0组不比赛</v>
      </c>
      <c r="S40" s="15" t="str">
        <f t="shared" si="31"/>
        <v>女子铅球预决赛0人0组不比赛</v>
      </c>
    </row>
    <row r="41" spans="1:19">
      <c r="A41" t="s">
        <v>1858</v>
      </c>
      <c r="B41">
        <v>1308</v>
      </c>
      <c r="C41" t="s">
        <v>1867</v>
      </c>
      <c r="D41" t="s">
        <v>1803</v>
      </c>
      <c r="E41" t="s">
        <v>1788</v>
      </c>
      <c r="F41" t="s">
        <v>1789</v>
      </c>
      <c r="H41" s="16">
        <v>5</v>
      </c>
      <c r="I41" s="16" t="s">
        <v>134</v>
      </c>
      <c r="J41" s="16" t="s">
        <v>135</v>
      </c>
      <c r="K41" s="16"/>
      <c r="L41" s="16"/>
      <c r="M41" s="15"/>
      <c r="N41" s="15"/>
      <c r="O41" s="15"/>
      <c r="P41" s="15"/>
      <c r="Q41" s="15"/>
    </row>
    <row r="42" spans="1:19">
      <c r="A42" t="s">
        <v>1874</v>
      </c>
      <c r="B42" t="s">
        <v>1872</v>
      </c>
      <c r="C42" t="s">
        <v>1873</v>
      </c>
      <c r="D42" t="s">
        <v>1787</v>
      </c>
      <c r="E42" t="s">
        <v>1806</v>
      </c>
      <c r="F42" t="s">
        <v>1800</v>
      </c>
      <c r="G42" s="15">
        <v>8</v>
      </c>
      <c r="H42" s="15" t="s">
        <v>461</v>
      </c>
      <c r="I42" s="16">
        <v>0</v>
      </c>
      <c r="J42" s="16">
        <v>0</v>
      </c>
      <c r="K42" s="15">
        <f>ROUNDUP(I42/G42,0)</f>
        <v>0</v>
      </c>
      <c r="L42" s="15">
        <f>ROUNDUP(J42/G42,0)</f>
        <v>0</v>
      </c>
      <c r="M42" s="15" t="str">
        <f t="shared" si="24"/>
        <v>预决赛</v>
      </c>
      <c r="N42" s="15" t="str">
        <f t="shared" si="25"/>
        <v>预决赛</v>
      </c>
      <c r="O42" s="15" t="str">
        <f t="shared" si="26"/>
        <v>不比赛</v>
      </c>
      <c r="P42" s="15" t="str">
        <f t="shared" si="27"/>
        <v>不比赛</v>
      </c>
      <c r="Q42" s="18" t="s">
        <v>483</v>
      </c>
      <c r="R42" s="15" t="str">
        <f>"男子"&amp;$H42&amp;M42&amp;I42&amp;"人"&amp;K42&amp;"组"&amp;O42</f>
        <v>男子100米预决赛0人0组不比赛</v>
      </c>
      <c r="S42" s="15" t="str">
        <f>"女子"&amp;$H42&amp;N42&amp;J42&amp;"人"&amp;L42&amp;"组"&amp;P42</f>
        <v>女子100米预决赛0人0组不比赛</v>
      </c>
    </row>
    <row r="43" spans="1:19">
      <c r="A43" t="s">
        <v>1874</v>
      </c>
      <c r="B43" t="s">
        <v>1875</v>
      </c>
      <c r="C43" t="s">
        <v>1876</v>
      </c>
      <c r="D43" t="s">
        <v>1787</v>
      </c>
      <c r="E43" t="s">
        <v>1788</v>
      </c>
      <c r="F43" t="s">
        <v>1789</v>
      </c>
      <c r="G43" s="16">
        <v>8</v>
      </c>
      <c r="H43" s="16" t="s">
        <v>462</v>
      </c>
      <c r="I43" s="16">
        <v>0</v>
      </c>
      <c r="J43" s="16">
        <v>0</v>
      </c>
      <c r="K43" s="15">
        <f t="shared" ref="K43:K50" si="32">ROUNDUP(I43/G43,0)</f>
        <v>0</v>
      </c>
      <c r="L43" s="15">
        <f t="shared" ref="L43:L50" si="33">ROUNDUP(J43/G43,0)</f>
        <v>0</v>
      </c>
      <c r="M43" s="15" t="str">
        <f t="shared" ref="M43:M50" si="34">IF(K43&gt;1,"预赛","预决赛")</f>
        <v>预决赛</v>
      </c>
      <c r="N43" s="15" t="str">
        <f t="shared" ref="N43:N50" si="35">IF(L43&gt;1,"预赛","预决赛")</f>
        <v>预决赛</v>
      </c>
      <c r="O43" s="15" t="str">
        <f t="shared" ref="O43:O50" si="36">IF(M43="预赛","取前８名进决赛",IF(I43&gt;7,"取前６名",IF(I43&lt;2,"不比赛","取前"&amp;I43-1&amp;"名")))</f>
        <v>不比赛</v>
      </c>
      <c r="P43" s="15" t="str">
        <f t="shared" ref="P43:P50" si="37">IF(N43="预赛","取前８名进决赛",IF(J43&gt;7,"取前６名",IF(J43&lt;2,"不比赛","取前"&amp;J43-1&amp;"名")))</f>
        <v>不比赛</v>
      </c>
      <c r="Q43" s="18" t="s">
        <v>483</v>
      </c>
      <c r="R43" s="15" t="str">
        <f t="shared" ref="R43:R50" si="38">"男子"&amp;$H43&amp;M43&amp;I43&amp;"人"&amp;K43&amp;"组"&amp;O43</f>
        <v>男子200米预决赛0人0组不比赛</v>
      </c>
      <c r="S43" s="15" t="str">
        <f t="shared" ref="S43:S50" si="39">"女子"&amp;$H43&amp;N43&amp;J43&amp;"人"&amp;L43&amp;"组"&amp;P43</f>
        <v>女子200米预决赛0人0组不比赛</v>
      </c>
    </row>
    <row r="44" spans="1:19">
      <c r="A44" t="s">
        <v>1874</v>
      </c>
      <c r="B44" t="s">
        <v>1877</v>
      </c>
      <c r="C44" t="s">
        <v>1878</v>
      </c>
      <c r="D44" t="s">
        <v>1787</v>
      </c>
      <c r="E44" t="s">
        <v>1796</v>
      </c>
      <c r="F44" t="s">
        <v>1799</v>
      </c>
      <c r="G44" s="17">
        <v>17</v>
      </c>
      <c r="H44" s="17" t="s">
        <v>478</v>
      </c>
      <c r="I44">
        <v>0</v>
      </c>
      <c r="J44">
        <v>0</v>
      </c>
      <c r="K44" s="15">
        <f t="shared" si="32"/>
        <v>0</v>
      </c>
      <c r="L44" s="15">
        <f t="shared" si="33"/>
        <v>0</v>
      </c>
      <c r="M44" s="15" t="str">
        <f t="shared" si="34"/>
        <v>预决赛</v>
      </c>
      <c r="N44" s="15" t="str">
        <f t="shared" si="35"/>
        <v>预决赛</v>
      </c>
      <c r="O44" s="15" t="str">
        <f>IF(M44="预赛","取前８名进决赛",IF(I44&gt;7,"取前６名",IF(I44&lt;2,"不比赛","取前"&amp;I44-1&amp;"名")))</f>
        <v>不比赛</v>
      </c>
      <c r="P44" s="15" t="str">
        <f t="shared" si="37"/>
        <v>不比赛</v>
      </c>
      <c r="Q44" s="18" t="s">
        <v>483</v>
      </c>
      <c r="R44" s="15" t="str">
        <f t="shared" si="38"/>
        <v>男子3000米预决赛0人0组不比赛</v>
      </c>
      <c r="S44" s="15" t="str">
        <f t="shared" si="39"/>
        <v>女子3000米预决赛0人0组不比赛</v>
      </c>
    </row>
    <row r="45" spans="1:19">
      <c r="A45" t="s">
        <v>1874</v>
      </c>
      <c r="B45" t="s">
        <v>1879</v>
      </c>
      <c r="C45" t="s">
        <v>1880</v>
      </c>
      <c r="D45" t="s">
        <v>1787</v>
      </c>
      <c r="E45" t="s">
        <v>1792</v>
      </c>
      <c r="F45" t="s">
        <v>1793</v>
      </c>
      <c r="G45" s="17">
        <v>17</v>
      </c>
      <c r="H45" s="16" t="s">
        <v>464</v>
      </c>
      <c r="I45">
        <v>0</v>
      </c>
      <c r="J45">
        <v>0</v>
      </c>
      <c r="K45" s="15">
        <f t="shared" si="32"/>
        <v>0</v>
      </c>
      <c r="L45" s="15">
        <f t="shared" si="33"/>
        <v>0</v>
      </c>
      <c r="M45" s="15" t="str">
        <f t="shared" si="34"/>
        <v>预决赛</v>
      </c>
      <c r="N45" s="15" t="str">
        <f t="shared" si="35"/>
        <v>预决赛</v>
      </c>
      <c r="O45" s="15" t="str">
        <f t="shared" si="36"/>
        <v>不比赛</v>
      </c>
      <c r="P45" s="15" t="str">
        <f t="shared" si="37"/>
        <v>不比赛</v>
      </c>
      <c r="Q45" s="18" t="s">
        <v>483</v>
      </c>
      <c r="R45" s="15" t="str">
        <f t="shared" si="38"/>
        <v>男子800米预决赛0人0组不比赛</v>
      </c>
      <c r="S45" s="15" t="str">
        <f t="shared" si="39"/>
        <v>女子800米预决赛0人0组不比赛</v>
      </c>
    </row>
    <row r="46" spans="1:19">
      <c r="A46" t="s">
        <v>1874</v>
      </c>
      <c r="B46" t="s">
        <v>1881</v>
      </c>
      <c r="C46" t="s">
        <v>1882</v>
      </c>
      <c r="D46" t="s">
        <v>1803</v>
      </c>
      <c r="E46" t="s">
        <v>1796</v>
      </c>
      <c r="F46" t="s">
        <v>1799</v>
      </c>
      <c r="G46" s="17">
        <v>17</v>
      </c>
      <c r="H46" s="16" t="s">
        <v>465</v>
      </c>
      <c r="I46" s="15">
        <v>0</v>
      </c>
      <c r="J46" s="15">
        <v>0</v>
      </c>
      <c r="K46" s="15">
        <f>ROUNDUP(I46/G46,0)</f>
        <v>0</v>
      </c>
      <c r="L46" s="15">
        <f t="shared" si="33"/>
        <v>0</v>
      </c>
      <c r="M46" s="15" t="str">
        <f t="shared" si="34"/>
        <v>预决赛</v>
      </c>
      <c r="N46" s="15" t="str">
        <f t="shared" si="35"/>
        <v>预决赛</v>
      </c>
      <c r="O46" s="15" t="str">
        <f t="shared" si="36"/>
        <v>不比赛</v>
      </c>
      <c r="P46" s="15" t="str">
        <f t="shared" si="37"/>
        <v>不比赛</v>
      </c>
      <c r="Q46" s="18" t="s">
        <v>483</v>
      </c>
      <c r="R46" s="15" t="str">
        <f t="shared" si="38"/>
        <v>男子1500米预决赛0人0组不比赛</v>
      </c>
      <c r="S46" s="15" t="str">
        <f t="shared" si="39"/>
        <v>女子1500米预决赛0人0组不比赛</v>
      </c>
    </row>
    <row r="47" spans="1:19">
      <c r="A47" t="s">
        <v>1874</v>
      </c>
      <c r="B47" t="s">
        <v>1883</v>
      </c>
      <c r="C47" t="s">
        <v>1884</v>
      </c>
      <c r="D47" t="s">
        <v>1803</v>
      </c>
      <c r="E47" t="s">
        <v>1806</v>
      </c>
      <c r="F47" t="s">
        <v>1800</v>
      </c>
      <c r="G47">
        <v>30</v>
      </c>
      <c r="H47" s="16" t="s">
        <v>466</v>
      </c>
      <c r="I47" s="16">
        <v>0</v>
      </c>
      <c r="J47" s="16">
        <v>0</v>
      </c>
      <c r="K47" s="15">
        <f t="shared" si="32"/>
        <v>0</v>
      </c>
      <c r="L47" s="15">
        <f t="shared" si="33"/>
        <v>0</v>
      </c>
      <c r="M47" s="15" t="str">
        <f t="shared" si="34"/>
        <v>预决赛</v>
      </c>
      <c r="N47" s="15" t="str">
        <f t="shared" si="35"/>
        <v>预决赛</v>
      </c>
      <c r="O47" s="15" t="str">
        <f t="shared" si="36"/>
        <v>不比赛</v>
      </c>
      <c r="P47" s="15" t="str">
        <f t="shared" si="37"/>
        <v>不比赛</v>
      </c>
      <c r="Q47" s="18" t="s">
        <v>483</v>
      </c>
      <c r="R47" s="15" t="str">
        <f t="shared" si="38"/>
        <v>男子跳高预决赛0人0组不比赛</v>
      </c>
      <c r="S47" s="15" t="str">
        <f t="shared" si="39"/>
        <v>女子跳高预决赛0人0组不比赛</v>
      </c>
    </row>
    <row r="48" spans="1:19">
      <c r="A48" t="s">
        <v>1874</v>
      </c>
      <c r="B48" t="s">
        <v>1885</v>
      </c>
      <c r="C48" t="s">
        <v>1886</v>
      </c>
      <c r="D48" t="s">
        <v>1803</v>
      </c>
      <c r="E48" t="s">
        <v>1792</v>
      </c>
      <c r="F48" t="s">
        <v>1793</v>
      </c>
      <c r="G48">
        <v>30</v>
      </c>
      <c r="H48" s="16" t="s">
        <v>467</v>
      </c>
      <c r="I48" s="17">
        <v>0</v>
      </c>
      <c r="J48" s="17">
        <v>0</v>
      </c>
      <c r="K48" s="15">
        <f t="shared" si="32"/>
        <v>0</v>
      </c>
      <c r="L48" s="15">
        <f t="shared" si="33"/>
        <v>0</v>
      </c>
      <c r="M48" s="15" t="str">
        <f t="shared" si="34"/>
        <v>预决赛</v>
      </c>
      <c r="N48" s="15" t="str">
        <f t="shared" si="35"/>
        <v>预决赛</v>
      </c>
      <c r="O48" s="15" t="str">
        <f t="shared" si="36"/>
        <v>不比赛</v>
      </c>
      <c r="P48" s="15" t="str">
        <f t="shared" si="37"/>
        <v>不比赛</v>
      </c>
      <c r="Q48" s="18" t="s">
        <v>483</v>
      </c>
      <c r="R48" s="15" t="str">
        <f t="shared" si="38"/>
        <v>男子跳远预决赛0人0组不比赛</v>
      </c>
      <c r="S48" s="15" t="str">
        <f t="shared" si="39"/>
        <v>女子跳远预决赛0人0组不比赛</v>
      </c>
    </row>
    <row r="49" spans="1:19">
      <c r="A49" t="s">
        <v>1874</v>
      </c>
      <c r="B49" t="s">
        <v>1887</v>
      </c>
      <c r="C49" t="s">
        <v>1888</v>
      </c>
      <c r="D49" t="s">
        <v>1803</v>
      </c>
      <c r="E49" t="s">
        <v>1788</v>
      </c>
      <c r="F49" t="s">
        <v>1789</v>
      </c>
      <c r="G49">
        <v>30</v>
      </c>
      <c r="H49" s="16" t="s">
        <v>468</v>
      </c>
      <c r="I49" s="16">
        <v>0</v>
      </c>
      <c r="J49" s="16">
        <v>0</v>
      </c>
      <c r="K49" s="15">
        <f t="shared" si="32"/>
        <v>0</v>
      </c>
      <c r="L49" s="15">
        <f t="shared" si="33"/>
        <v>0</v>
      </c>
      <c r="M49" s="15" t="str">
        <f t="shared" si="34"/>
        <v>预决赛</v>
      </c>
      <c r="N49" s="15" t="str">
        <f t="shared" si="35"/>
        <v>预决赛</v>
      </c>
      <c r="O49" s="15" t="str">
        <f t="shared" si="36"/>
        <v>不比赛</v>
      </c>
      <c r="P49" s="15" t="str">
        <f t="shared" si="37"/>
        <v>不比赛</v>
      </c>
      <c r="Q49" s="18" t="s">
        <v>483</v>
      </c>
      <c r="R49" s="15" t="str">
        <f t="shared" si="38"/>
        <v>男子三级跳预决赛0人0组不比赛</v>
      </c>
      <c r="S49" s="15" t="str">
        <f t="shared" si="39"/>
        <v>女子三级跳预决赛0人0组不比赛</v>
      </c>
    </row>
    <row r="50" spans="1:19">
      <c r="A50" t="s">
        <v>1891</v>
      </c>
      <c r="B50" t="s">
        <v>1893</v>
      </c>
      <c r="C50" t="s">
        <v>1894</v>
      </c>
      <c r="D50" t="s">
        <v>1787</v>
      </c>
      <c r="E50" t="s">
        <v>1792</v>
      </c>
      <c r="F50" t="s">
        <v>1799</v>
      </c>
      <c r="G50">
        <v>30</v>
      </c>
      <c r="H50" s="16" t="s">
        <v>470</v>
      </c>
      <c r="I50" s="16">
        <v>0</v>
      </c>
      <c r="J50" s="16">
        <v>0</v>
      </c>
      <c r="K50" s="15">
        <f t="shared" si="32"/>
        <v>0</v>
      </c>
      <c r="L50" s="15">
        <f t="shared" si="33"/>
        <v>0</v>
      </c>
      <c r="M50" s="15" t="str">
        <f t="shared" si="34"/>
        <v>预决赛</v>
      </c>
      <c r="N50" s="15" t="str">
        <f t="shared" si="35"/>
        <v>预决赛</v>
      </c>
      <c r="O50" s="15" t="str">
        <f t="shared" si="36"/>
        <v>不比赛</v>
      </c>
      <c r="P50" s="15" t="str">
        <f t="shared" si="37"/>
        <v>不比赛</v>
      </c>
      <c r="Q50" s="18" t="s">
        <v>483</v>
      </c>
      <c r="R50" s="15" t="str">
        <f t="shared" si="38"/>
        <v>男子铅球预决赛0人0组不比赛</v>
      </c>
      <c r="S50" s="15" t="str">
        <f t="shared" si="39"/>
        <v>女子铅球预决赛0人0组不比赛</v>
      </c>
    </row>
    <row r="51" spans="1:19">
      <c r="A51" t="s">
        <v>1891</v>
      </c>
      <c r="B51" t="s">
        <v>1895</v>
      </c>
      <c r="C51" t="s">
        <v>1896</v>
      </c>
      <c r="D51" t="s">
        <v>1787</v>
      </c>
      <c r="E51" t="s">
        <v>1789</v>
      </c>
      <c r="F51" t="s">
        <v>1806</v>
      </c>
      <c r="H51" s="16"/>
      <c r="I51" s="16"/>
      <c r="J51" s="16"/>
      <c r="K51" s="16"/>
      <c r="L51" s="16"/>
      <c r="M51" s="15"/>
      <c r="N51" s="15"/>
      <c r="O51" s="15"/>
      <c r="P51" s="15"/>
    </row>
    <row r="52" spans="1:19">
      <c r="A52" t="s">
        <v>1891</v>
      </c>
      <c r="B52" t="s">
        <v>1897</v>
      </c>
      <c r="C52" t="s">
        <v>1898</v>
      </c>
      <c r="D52" t="s">
        <v>1787</v>
      </c>
      <c r="E52" t="s">
        <v>1788</v>
      </c>
      <c r="F52" t="s">
        <v>1796</v>
      </c>
      <c r="H52" s="16"/>
      <c r="I52" s="16"/>
      <c r="J52" s="16"/>
      <c r="K52" s="16"/>
      <c r="L52" s="16"/>
      <c r="M52" s="15"/>
      <c r="N52" s="15"/>
      <c r="O52" s="15"/>
      <c r="P52" s="15"/>
    </row>
    <row r="53" spans="1:19">
      <c r="A53" t="s">
        <v>1891</v>
      </c>
      <c r="B53" t="s">
        <v>1899</v>
      </c>
      <c r="C53" t="s">
        <v>1900</v>
      </c>
      <c r="D53" t="s">
        <v>1787</v>
      </c>
      <c r="E53" t="s">
        <v>1800</v>
      </c>
      <c r="F53" t="s">
        <v>410</v>
      </c>
      <c r="H53" s="16"/>
      <c r="I53" s="16"/>
      <c r="J53" s="16"/>
      <c r="K53" s="16"/>
      <c r="L53" s="16"/>
      <c r="M53" s="15"/>
      <c r="N53" s="15"/>
      <c r="O53" s="15"/>
      <c r="P53" s="15"/>
    </row>
    <row r="54" spans="1:19">
      <c r="A54" t="s">
        <v>1891</v>
      </c>
      <c r="B54" t="s">
        <v>1901</v>
      </c>
      <c r="C54" t="s">
        <v>1902</v>
      </c>
      <c r="D54" t="s">
        <v>1803</v>
      </c>
      <c r="E54" t="s">
        <v>1796</v>
      </c>
      <c r="F54" t="s">
        <v>1799</v>
      </c>
      <c r="H54" s="16"/>
      <c r="I54" s="16"/>
      <c r="J54" s="16"/>
      <c r="K54" s="16"/>
      <c r="L54" s="16"/>
      <c r="M54" s="15"/>
      <c r="N54" s="15"/>
      <c r="O54" s="15"/>
      <c r="P54" s="15"/>
    </row>
    <row r="55" spans="1:19">
      <c r="A55" t="s">
        <v>1891</v>
      </c>
      <c r="B55" t="s">
        <v>1903</v>
      </c>
      <c r="C55" t="s">
        <v>1904</v>
      </c>
      <c r="D55" t="s">
        <v>1803</v>
      </c>
      <c r="E55" t="s">
        <v>1800</v>
      </c>
      <c r="F55" t="s">
        <v>452</v>
      </c>
    </row>
    <row r="56" spans="1:19">
      <c r="A56" t="s">
        <v>1891</v>
      </c>
      <c r="B56" t="s">
        <v>1905</v>
      </c>
      <c r="C56" t="s">
        <v>1906</v>
      </c>
      <c r="D56" t="s">
        <v>1803</v>
      </c>
      <c r="E56" t="s">
        <v>1792</v>
      </c>
      <c r="F56" t="s">
        <v>1806</v>
      </c>
    </row>
    <row r="57" spans="1:19">
      <c r="A57" t="s">
        <v>1891</v>
      </c>
      <c r="B57" t="s">
        <v>1907</v>
      </c>
      <c r="C57" t="s">
        <v>1908</v>
      </c>
      <c r="D57" t="s">
        <v>1803</v>
      </c>
      <c r="E57" t="s">
        <v>1788</v>
      </c>
      <c r="F57" t="s">
        <v>1789</v>
      </c>
    </row>
    <row r="58" spans="1:19">
      <c r="A58" t="s">
        <v>1911</v>
      </c>
      <c r="B58">
        <v>1201</v>
      </c>
      <c r="C58" t="s">
        <v>1913</v>
      </c>
      <c r="D58" t="s">
        <v>1787</v>
      </c>
      <c r="E58" t="s">
        <v>1796</v>
      </c>
      <c r="F58" t="s">
        <v>1806</v>
      </c>
    </row>
    <row r="59" spans="1:19">
      <c r="A59" t="s">
        <v>1911</v>
      </c>
      <c r="B59">
        <v>1202</v>
      </c>
      <c r="C59" t="s">
        <v>1914</v>
      </c>
      <c r="D59" t="s">
        <v>1787</v>
      </c>
      <c r="E59" t="s">
        <v>1788</v>
      </c>
      <c r="F59" t="s">
        <v>1789</v>
      </c>
    </row>
    <row r="60" spans="1:19">
      <c r="A60" t="s">
        <v>1911</v>
      </c>
      <c r="B60">
        <v>1203</v>
      </c>
      <c r="C60" t="s">
        <v>1915</v>
      </c>
      <c r="D60" t="s">
        <v>1787</v>
      </c>
      <c r="E60" t="s">
        <v>1800</v>
      </c>
      <c r="F60" t="s">
        <v>54</v>
      </c>
    </row>
    <row r="61" spans="1:19">
      <c r="A61" t="s">
        <v>1911</v>
      </c>
      <c r="B61">
        <v>1204</v>
      </c>
      <c r="C61" t="s">
        <v>1916</v>
      </c>
      <c r="D61" t="s">
        <v>1787</v>
      </c>
      <c r="E61" t="s">
        <v>1792</v>
      </c>
      <c r="F61" t="s">
        <v>1793</v>
      </c>
    </row>
    <row r="62" spans="1:19">
      <c r="A62" t="s">
        <v>1911</v>
      </c>
      <c r="B62">
        <v>1205</v>
      </c>
      <c r="C62" t="s">
        <v>1917</v>
      </c>
      <c r="D62" t="s">
        <v>1803</v>
      </c>
      <c r="E62" t="s">
        <v>1788</v>
      </c>
      <c r="F62" t="s">
        <v>1789</v>
      </c>
    </row>
    <row r="63" spans="1:19">
      <c r="A63" t="s">
        <v>1911</v>
      </c>
      <c r="B63">
        <v>1206</v>
      </c>
      <c r="C63" t="s">
        <v>1918</v>
      </c>
      <c r="D63" t="s">
        <v>1803</v>
      </c>
      <c r="E63" t="s">
        <v>1792</v>
      </c>
      <c r="F63" t="s">
        <v>1793</v>
      </c>
    </row>
    <row r="64" spans="1:19">
      <c r="A64" t="s">
        <v>1911</v>
      </c>
      <c r="B64">
        <v>1207</v>
      </c>
      <c r="C64" t="s">
        <v>1919</v>
      </c>
      <c r="D64" t="s">
        <v>1803</v>
      </c>
      <c r="E64" t="s">
        <v>1806</v>
      </c>
      <c r="F64" t="s">
        <v>52</v>
      </c>
    </row>
    <row r="65" spans="1:6">
      <c r="A65" t="s">
        <v>1911</v>
      </c>
      <c r="B65">
        <v>1208</v>
      </c>
      <c r="C65" t="s">
        <v>1920</v>
      </c>
      <c r="D65" t="s">
        <v>1803</v>
      </c>
      <c r="E65" t="s">
        <v>1796</v>
      </c>
      <c r="F65" t="s">
        <v>1800</v>
      </c>
    </row>
    <row r="66" spans="1:6">
      <c r="A66" t="s">
        <v>1923</v>
      </c>
      <c r="B66" t="s">
        <v>1925</v>
      </c>
      <c r="C66" t="s">
        <v>1926</v>
      </c>
      <c r="D66" t="s">
        <v>1787</v>
      </c>
      <c r="E66" t="s">
        <v>1793</v>
      </c>
      <c r="F66" t="s">
        <v>1806</v>
      </c>
    </row>
    <row r="67" spans="1:6">
      <c r="A67" t="s">
        <v>1923</v>
      </c>
      <c r="B67" t="s">
        <v>1927</v>
      </c>
      <c r="C67" t="s">
        <v>1928</v>
      </c>
      <c r="D67" t="s">
        <v>1787</v>
      </c>
      <c r="E67" t="s">
        <v>1788</v>
      </c>
      <c r="F67" t="s">
        <v>1800</v>
      </c>
    </row>
    <row r="68" spans="1:6">
      <c r="A68" t="s">
        <v>1923</v>
      </c>
      <c r="B68" t="s">
        <v>1929</v>
      </c>
      <c r="C68" t="s">
        <v>1930</v>
      </c>
      <c r="D68" t="s">
        <v>1787</v>
      </c>
      <c r="E68" t="s">
        <v>1789</v>
      </c>
      <c r="F68" t="s">
        <v>1792</v>
      </c>
    </row>
    <row r="69" spans="1:6">
      <c r="A69" t="s">
        <v>1923</v>
      </c>
      <c r="B69" t="s">
        <v>1931</v>
      </c>
      <c r="C69" t="s">
        <v>1932</v>
      </c>
      <c r="D69" t="s">
        <v>1787</v>
      </c>
      <c r="E69" t="s">
        <v>1796</v>
      </c>
      <c r="F69" t="s">
        <v>1799</v>
      </c>
    </row>
    <row r="70" spans="1:6">
      <c r="A70" t="s">
        <v>1923</v>
      </c>
      <c r="B70" t="s">
        <v>1933</v>
      </c>
      <c r="C70" t="s">
        <v>1934</v>
      </c>
      <c r="D70" t="s">
        <v>1803</v>
      </c>
      <c r="E70" t="s">
        <v>1796</v>
      </c>
      <c r="F70" t="s">
        <v>1806</v>
      </c>
    </row>
    <row r="71" spans="1:6">
      <c r="A71" t="s">
        <v>1923</v>
      </c>
      <c r="B71" t="s">
        <v>1935</v>
      </c>
      <c r="C71" t="s">
        <v>1936</v>
      </c>
      <c r="D71" t="s">
        <v>1803</v>
      </c>
      <c r="E71" t="s">
        <v>1789</v>
      </c>
      <c r="F71" t="s">
        <v>1792</v>
      </c>
    </row>
    <row r="72" spans="1:6">
      <c r="A72" t="s">
        <v>1923</v>
      </c>
      <c r="B72" t="s">
        <v>1937</v>
      </c>
      <c r="C72" t="s">
        <v>1938</v>
      </c>
      <c r="D72" t="s">
        <v>1803</v>
      </c>
      <c r="E72" t="s">
        <v>1799</v>
      </c>
      <c r="F72" t="s">
        <v>1800</v>
      </c>
    </row>
    <row r="73" spans="1:6">
      <c r="A73" t="s">
        <v>1923</v>
      </c>
      <c r="B73" t="s">
        <v>1939</v>
      </c>
      <c r="C73" t="s">
        <v>1940</v>
      </c>
      <c r="D73" t="s">
        <v>1803</v>
      </c>
      <c r="E73" t="s">
        <v>1788</v>
      </c>
      <c r="F73" t="s">
        <v>1793</v>
      </c>
    </row>
    <row r="74" spans="1:6">
      <c r="A74" t="s">
        <v>1943</v>
      </c>
      <c r="B74">
        <v>1191</v>
      </c>
      <c r="C74" t="s">
        <v>1945</v>
      </c>
      <c r="D74" t="s">
        <v>1787</v>
      </c>
      <c r="E74" t="s">
        <v>1792</v>
      </c>
      <c r="F74" t="s">
        <v>348</v>
      </c>
    </row>
    <row r="75" spans="1:6">
      <c r="A75" t="s">
        <v>1943</v>
      </c>
      <c r="B75">
        <v>1192</v>
      </c>
      <c r="C75" t="s">
        <v>1946</v>
      </c>
      <c r="D75" t="s">
        <v>1787</v>
      </c>
      <c r="E75" t="s">
        <v>1796</v>
      </c>
      <c r="F75" t="s">
        <v>348</v>
      </c>
    </row>
    <row r="76" spans="1:6">
      <c r="A76" t="s">
        <v>1943</v>
      </c>
      <c r="B76">
        <v>1193</v>
      </c>
      <c r="C76" t="s">
        <v>1947</v>
      </c>
      <c r="D76" t="s">
        <v>1787</v>
      </c>
      <c r="E76" t="s">
        <v>1806</v>
      </c>
      <c r="F76" t="s">
        <v>347</v>
      </c>
    </row>
    <row r="77" spans="1:6">
      <c r="A77" t="s">
        <v>1943</v>
      </c>
      <c r="B77">
        <v>1194</v>
      </c>
      <c r="C77" t="s">
        <v>1948</v>
      </c>
      <c r="D77" t="s">
        <v>1787</v>
      </c>
      <c r="E77" t="s">
        <v>1800</v>
      </c>
      <c r="F77" t="s">
        <v>348</v>
      </c>
    </row>
    <row r="78" spans="1:6">
      <c r="A78" t="s">
        <v>1943</v>
      </c>
      <c r="B78">
        <v>1195</v>
      </c>
      <c r="C78" t="s">
        <v>1949</v>
      </c>
      <c r="D78" t="s">
        <v>1803</v>
      </c>
      <c r="E78" t="s">
        <v>1792</v>
      </c>
      <c r="F78" t="s">
        <v>348</v>
      </c>
    </row>
    <row r="79" spans="1:6">
      <c r="A79" t="s">
        <v>1943</v>
      </c>
      <c r="B79">
        <v>1196</v>
      </c>
      <c r="C79" t="s">
        <v>1950</v>
      </c>
      <c r="D79" t="s">
        <v>1803</v>
      </c>
      <c r="E79" t="s">
        <v>1793</v>
      </c>
    </row>
    <row r="80" spans="1:6">
      <c r="A80" t="s">
        <v>1943</v>
      </c>
      <c r="B80">
        <v>1197</v>
      </c>
      <c r="C80" t="s">
        <v>1951</v>
      </c>
      <c r="D80" t="s">
        <v>1803</v>
      </c>
      <c r="E80" t="s">
        <v>1796</v>
      </c>
      <c r="F80" t="s">
        <v>346</v>
      </c>
    </row>
    <row r="81" spans="1:6">
      <c r="A81" t="s">
        <v>1943</v>
      </c>
      <c r="B81">
        <v>1198</v>
      </c>
      <c r="C81" t="s">
        <v>1952</v>
      </c>
      <c r="D81" t="s">
        <v>1803</v>
      </c>
      <c r="E81" t="s">
        <v>1806</v>
      </c>
      <c r="F81" t="s">
        <v>410</v>
      </c>
    </row>
    <row r="82" spans="1:6">
      <c r="A82" t="s">
        <v>1955</v>
      </c>
      <c r="B82">
        <v>1271</v>
      </c>
      <c r="C82" t="s">
        <v>1957</v>
      </c>
      <c r="D82" t="s">
        <v>1787</v>
      </c>
      <c r="E82" t="s">
        <v>1792</v>
      </c>
      <c r="F82" t="s">
        <v>1793</v>
      </c>
    </row>
    <row r="83" spans="1:6">
      <c r="A83" t="s">
        <v>1955</v>
      </c>
      <c r="B83">
        <v>1272</v>
      </c>
      <c r="C83" t="s">
        <v>1958</v>
      </c>
      <c r="D83" t="s">
        <v>1787</v>
      </c>
      <c r="E83" t="s">
        <v>1806</v>
      </c>
      <c r="F83" t="s">
        <v>1800</v>
      </c>
    </row>
    <row r="84" spans="1:6">
      <c r="A84" t="s">
        <v>1955</v>
      </c>
      <c r="B84">
        <v>1273</v>
      </c>
      <c r="C84" t="s">
        <v>1959</v>
      </c>
      <c r="D84" t="s">
        <v>1787</v>
      </c>
      <c r="E84" t="s">
        <v>1796</v>
      </c>
      <c r="F84" t="s">
        <v>1799</v>
      </c>
    </row>
    <row r="85" spans="1:6">
      <c r="A85" t="s">
        <v>1955</v>
      </c>
      <c r="B85">
        <v>1274</v>
      </c>
      <c r="C85" t="s">
        <v>1960</v>
      </c>
      <c r="D85" t="s">
        <v>1787</v>
      </c>
      <c r="E85" t="s">
        <v>1788</v>
      </c>
      <c r="F85" t="s">
        <v>1789</v>
      </c>
    </row>
    <row r="86" spans="1:6">
      <c r="A86" t="s">
        <v>1955</v>
      </c>
      <c r="B86">
        <v>1275</v>
      </c>
      <c r="C86" t="s">
        <v>1961</v>
      </c>
      <c r="D86" t="s">
        <v>1803</v>
      </c>
      <c r="E86" t="s">
        <v>1792</v>
      </c>
      <c r="F86" t="s">
        <v>1793</v>
      </c>
    </row>
    <row r="87" spans="1:6">
      <c r="A87" t="s">
        <v>1955</v>
      </c>
      <c r="B87">
        <v>1276</v>
      </c>
      <c r="C87" t="s">
        <v>1962</v>
      </c>
      <c r="D87" t="s">
        <v>1803</v>
      </c>
      <c r="E87" t="s">
        <v>1806</v>
      </c>
      <c r="F87" t="s">
        <v>1800</v>
      </c>
    </row>
    <row r="88" spans="1:6">
      <c r="A88" t="s">
        <v>1955</v>
      </c>
      <c r="B88">
        <v>1277</v>
      </c>
      <c r="C88" t="s">
        <v>1963</v>
      </c>
      <c r="D88" t="s">
        <v>1803</v>
      </c>
      <c r="E88" t="s">
        <v>1788</v>
      </c>
      <c r="F88" t="s">
        <v>1789</v>
      </c>
    </row>
    <row r="89" spans="1:6">
      <c r="A89" t="s">
        <v>1955</v>
      </c>
      <c r="B89">
        <v>1278</v>
      </c>
      <c r="C89" t="s">
        <v>1964</v>
      </c>
      <c r="D89" t="s">
        <v>1803</v>
      </c>
      <c r="E89" t="s">
        <v>1796</v>
      </c>
      <c r="F89" t="s">
        <v>1799</v>
      </c>
    </row>
    <row r="90" spans="1:6">
      <c r="A90" t="s">
        <v>1967</v>
      </c>
      <c r="B90">
        <v>1211</v>
      </c>
      <c r="C90" t="s">
        <v>1969</v>
      </c>
      <c r="D90" t="s">
        <v>1787</v>
      </c>
      <c r="E90" t="s">
        <v>1792</v>
      </c>
      <c r="F90" t="s">
        <v>1793</v>
      </c>
    </row>
    <row r="91" spans="1:6">
      <c r="A91" t="s">
        <v>1967</v>
      </c>
      <c r="B91">
        <v>1212</v>
      </c>
      <c r="C91" t="s">
        <v>1970</v>
      </c>
      <c r="D91" t="s">
        <v>1787</v>
      </c>
      <c r="E91" t="s">
        <v>1796</v>
      </c>
      <c r="F91" t="s">
        <v>1806</v>
      </c>
    </row>
    <row r="92" spans="1:6">
      <c r="A92" t="s">
        <v>1967</v>
      </c>
      <c r="B92" t="s">
        <v>1971</v>
      </c>
      <c r="C92" t="s">
        <v>1972</v>
      </c>
      <c r="D92" t="s">
        <v>1787</v>
      </c>
      <c r="E92" t="s">
        <v>1788</v>
      </c>
      <c r="F92" t="s">
        <v>1789</v>
      </c>
    </row>
    <row r="93" spans="1:6">
      <c r="A93" t="s">
        <v>1967</v>
      </c>
      <c r="B93" t="s">
        <v>1973</v>
      </c>
      <c r="C93" t="s">
        <v>1974</v>
      </c>
      <c r="D93" t="s">
        <v>1787</v>
      </c>
      <c r="E93" t="s">
        <v>1799</v>
      </c>
      <c r="F93" t="s">
        <v>1800</v>
      </c>
    </row>
    <row r="94" spans="1:6">
      <c r="A94" t="s">
        <v>1967</v>
      </c>
      <c r="B94" t="s">
        <v>1975</v>
      </c>
      <c r="C94" t="s">
        <v>1976</v>
      </c>
      <c r="D94" t="s">
        <v>1803</v>
      </c>
      <c r="E94" t="s">
        <v>1796</v>
      </c>
      <c r="F94" t="s">
        <v>1799</v>
      </c>
    </row>
    <row r="95" spans="1:6">
      <c r="A95" t="s">
        <v>1967</v>
      </c>
      <c r="B95" t="s">
        <v>1977</v>
      </c>
      <c r="C95" t="s">
        <v>1978</v>
      </c>
      <c r="D95" t="s">
        <v>1803</v>
      </c>
      <c r="E95" t="s">
        <v>1792</v>
      </c>
      <c r="F95" t="s">
        <v>1793</v>
      </c>
    </row>
    <row r="96" spans="1:6">
      <c r="A96" t="s">
        <v>1967</v>
      </c>
      <c r="B96" t="s">
        <v>1979</v>
      </c>
      <c r="C96" t="s">
        <v>1980</v>
      </c>
      <c r="D96" t="s">
        <v>1803</v>
      </c>
      <c r="E96" t="s">
        <v>1788</v>
      </c>
      <c r="F96" t="s">
        <v>1789</v>
      </c>
    </row>
    <row r="97" spans="1:6">
      <c r="A97" t="s">
        <v>1967</v>
      </c>
      <c r="B97" t="s">
        <v>1981</v>
      </c>
      <c r="C97" t="s">
        <v>1982</v>
      </c>
      <c r="D97" t="s">
        <v>1803</v>
      </c>
      <c r="E97" t="s">
        <v>1806</v>
      </c>
      <c r="F97" t="s">
        <v>1800</v>
      </c>
    </row>
    <row r="98" spans="1:6">
      <c r="A98" t="s">
        <v>1985</v>
      </c>
      <c r="B98">
        <v>1221</v>
      </c>
      <c r="C98" t="s">
        <v>1987</v>
      </c>
      <c r="D98" t="s">
        <v>1787</v>
      </c>
      <c r="E98" t="s">
        <v>1789</v>
      </c>
      <c r="F98" t="s">
        <v>1792</v>
      </c>
    </row>
    <row r="99" spans="1:6">
      <c r="A99" t="s">
        <v>1985</v>
      </c>
      <c r="B99">
        <v>1222</v>
      </c>
      <c r="C99" t="s">
        <v>1988</v>
      </c>
      <c r="D99" t="s">
        <v>1787</v>
      </c>
      <c r="E99" t="s">
        <v>1806</v>
      </c>
      <c r="F99" t="s">
        <v>1800</v>
      </c>
    </row>
    <row r="100" spans="1:6">
      <c r="A100" t="s">
        <v>1985</v>
      </c>
      <c r="B100">
        <v>1223</v>
      </c>
      <c r="C100" t="s">
        <v>1989</v>
      </c>
      <c r="D100" t="s">
        <v>1787</v>
      </c>
      <c r="E100" t="s">
        <v>1796</v>
      </c>
      <c r="F100" t="s">
        <v>1799</v>
      </c>
    </row>
    <row r="101" spans="1:6">
      <c r="A101" t="s">
        <v>1985</v>
      </c>
      <c r="B101">
        <v>1224</v>
      </c>
      <c r="C101" t="s">
        <v>1990</v>
      </c>
      <c r="D101" t="s">
        <v>1787</v>
      </c>
      <c r="E101" t="s">
        <v>1788</v>
      </c>
      <c r="F101" t="s">
        <v>1793</v>
      </c>
    </row>
    <row r="102" spans="1:6">
      <c r="A102" t="s">
        <v>1985</v>
      </c>
      <c r="B102">
        <v>1225</v>
      </c>
      <c r="C102" t="s">
        <v>1991</v>
      </c>
      <c r="D102" t="s">
        <v>1803</v>
      </c>
      <c r="E102" t="s">
        <v>1789</v>
      </c>
      <c r="F102" t="s">
        <v>1796</v>
      </c>
    </row>
    <row r="103" spans="1:6">
      <c r="A103" t="s">
        <v>1985</v>
      </c>
      <c r="B103">
        <v>1226</v>
      </c>
      <c r="C103" t="s">
        <v>1992</v>
      </c>
      <c r="D103" t="s">
        <v>1803</v>
      </c>
      <c r="E103" t="s">
        <v>1799</v>
      </c>
      <c r="F103" t="s">
        <v>1806</v>
      </c>
    </row>
    <row r="104" spans="1:6">
      <c r="A104" t="s">
        <v>1985</v>
      </c>
      <c r="B104">
        <v>1227</v>
      </c>
      <c r="C104" t="s">
        <v>1993</v>
      </c>
      <c r="D104" t="s">
        <v>1803</v>
      </c>
      <c r="E104" t="s">
        <v>1800</v>
      </c>
      <c r="F104" t="s">
        <v>409</v>
      </c>
    </row>
    <row r="105" spans="1:6">
      <c r="A105" t="s">
        <v>1985</v>
      </c>
      <c r="B105">
        <v>1228</v>
      </c>
      <c r="C105" t="s">
        <v>1994</v>
      </c>
      <c r="D105" t="s">
        <v>1803</v>
      </c>
      <c r="E105" t="s">
        <v>1788</v>
      </c>
      <c r="F105" t="s">
        <v>1792</v>
      </c>
    </row>
    <row r="106" spans="1:6">
      <c r="A106" t="s">
        <v>1997</v>
      </c>
      <c r="B106" t="s">
        <v>1999</v>
      </c>
      <c r="C106" t="s">
        <v>2000</v>
      </c>
      <c r="D106" t="s">
        <v>1787</v>
      </c>
      <c r="E106" t="s">
        <v>1796</v>
      </c>
      <c r="F106" t="s">
        <v>1806</v>
      </c>
    </row>
    <row r="107" spans="1:6">
      <c r="A107" t="s">
        <v>1997</v>
      </c>
      <c r="B107" t="s">
        <v>2001</v>
      </c>
      <c r="C107" t="s">
        <v>2002</v>
      </c>
      <c r="D107" t="s">
        <v>1787</v>
      </c>
      <c r="E107" t="s">
        <v>1788</v>
      </c>
      <c r="F107" t="s">
        <v>1792</v>
      </c>
    </row>
    <row r="108" spans="1:6">
      <c r="A108" t="s">
        <v>1997</v>
      </c>
      <c r="B108" t="s">
        <v>2003</v>
      </c>
      <c r="C108" t="s">
        <v>2004</v>
      </c>
      <c r="D108" t="s">
        <v>1787</v>
      </c>
      <c r="E108" t="s">
        <v>1789</v>
      </c>
      <c r="F108" t="s">
        <v>1800</v>
      </c>
    </row>
    <row r="109" spans="1:6">
      <c r="A109" t="s">
        <v>1997</v>
      </c>
      <c r="B109" t="s">
        <v>2005</v>
      </c>
      <c r="C109" t="s">
        <v>2006</v>
      </c>
      <c r="D109" t="s">
        <v>1787</v>
      </c>
      <c r="E109" t="s">
        <v>1793</v>
      </c>
      <c r="F109" t="s">
        <v>1799</v>
      </c>
    </row>
    <row r="110" spans="1:6">
      <c r="A110" t="s">
        <v>1997</v>
      </c>
      <c r="B110" t="s">
        <v>2007</v>
      </c>
      <c r="C110" t="s">
        <v>2008</v>
      </c>
      <c r="D110" t="s">
        <v>1803</v>
      </c>
      <c r="E110" t="s">
        <v>1789</v>
      </c>
      <c r="F110" t="s">
        <v>1806</v>
      </c>
    </row>
    <row r="111" spans="1:6">
      <c r="A111" t="s">
        <v>1997</v>
      </c>
      <c r="B111" t="s">
        <v>2009</v>
      </c>
      <c r="C111" t="s">
        <v>2010</v>
      </c>
      <c r="D111" t="s">
        <v>1803</v>
      </c>
      <c r="E111" t="s">
        <v>1788</v>
      </c>
      <c r="F111" t="s">
        <v>1796</v>
      </c>
    </row>
    <row r="112" spans="1:6">
      <c r="A112" t="s">
        <v>1997</v>
      </c>
      <c r="B112" t="s">
        <v>2011</v>
      </c>
      <c r="C112" t="s">
        <v>2012</v>
      </c>
      <c r="D112" t="s">
        <v>1803</v>
      </c>
      <c r="E112" t="s">
        <v>1792</v>
      </c>
      <c r="F112" t="s">
        <v>1800</v>
      </c>
    </row>
    <row r="113" spans="1:8">
      <c r="A113" t="s">
        <v>1997</v>
      </c>
      <c r="B113" t="s">
        <v>2013</v>
      </c>
      <c r="C113" t="s">
        <v>2014</v>
      </c>
      <c r="D113" t="s">
        <v>1803</v>
      </c>
      <c r="E113" t="s">
        <v>1793</v>
      </c>
      <c r="F113" t="s">
        <v>1799</v>
      </c>
    </row>
    <row r="114" spans="1:8">
      <c r="A114" t="s">
        <v>2017</v>
      </c>
      <c r="B114">
        <v>1241</v>
      </c>
      <c r="C114" t="s">
        <v>2019</v>
      </c>
      <c r="D114" t="s">
        <v>1787</v>
      </c>
      <c r="E114" t="s">
        <v>1788</v>
      </c>
      <c r="F114" t="s">
        <v>1789</v>
      </c>
    </row>
    <row r="115" spans="1:8">
      <c r="A115" t="s">
        <v>2017</v>
      </c>
      <c r="B115">
        <v>1242</v>
      </c>
      <c r="C115" t="s">
        <v>2020</v>
      </c>
      <c r="D115" t="s">
        <v>1787</v>
      </c>
      <c r="E115" t="s">
        <v>1792</v>
      </c>
      <c r="F115" t="s">
        <v>1793</v>
      </c>
    </row>
    <row r="116" spans="1:8">
      <c r="A116" t="s">
        <v>2017</v>
      </c>
      <c r="B116">
        <v>1243</v>
      </c>
      <c r="C116" s="192" t="s">
        <v>2021</v>
      </c>
      <c r="D116" t="s">
        <v>1787</v>
      </c>
      <c r="E116" t="s">
        <v>1796</v>
      </c>
      <c r="F116" t="s">
        <v>1799</v>
      </c>
      <c r="G116">
        <v>800</v>
      </c>
    </row>
    <row r="117" spans="1:8">
      <c r="A117" t="s">
        <v>2017</v>
      </c>
      <c r="B117">
        <v>1244</v>
      </c>
      <c r="C117" t="s">
        <v>2022</v>
      </c>
      <c r="D117" t="s">
        <v>1787</v>
      </c>
      <c r="E117" t="s">
        <v>1806</v>
      </c>
      <c r="F117" t="s">
        <v>1800</v>
      </c>
    </row>
    <row r="118" spans="1:8">
      <c r="A118" t="s">
        <v>2017</v>
      </c>
      <c r="B118">
        <v>1245</v>
      </c>
      <c r="C118" t="s">
        <v>2023</v>
      </c>
      <c r="D118" t="s">
        <v>1803</v>
      </c>
      <c r="E118" t="s">
        <v>1796</v>
      </c>
      <c r="F118" t="s">
        <v>1806</v>
      </c>
    </row>
    <row r="119" spans="1:8">
      <c r="A119" t="s">
        <v>2017</v>
      </c>
      <c r="B119">
        <v>1246</v>
      </c>
      <c r="C119" t="s">
        <v>2024</v>
      </c>
      <c r="D119" t="s">
        <v>1803</v>
      </c>
      <c r="E119" t="s">
        <v>1792</v>
      </c>
      <c r="F119" t="s">
        <v>1793</v>
      </c>
    </row>
    <row r="120" spans="1:8">
      <c r="A120" t="s">
        <v>2017</v>
      </c>
      <c r="B120">
        <v>1247</v>
      </c>
      <c r="C120" s="192" t="s">
        <v>2025</v>
      </c>
      <c r="D120" s="174" t="s">
        <v>1803</v>
      </c>
      <c r="E120" t="s">
        <v>1800</v>
      </c>
      <c r="F120" t="s">
        <v>53</v>
      </c>
      <c r="G120" s="174" t="s">
        <v>590</v>
      </c>
      <c r="H120" s="174" t="s">
        <v>591</v>
      </c>
    </row>
    <row r="121" spans="1:8">
      <c r="A121" t="s">
        <v>2017</v>
      </c>
      <c r="B121">
        <v>1248</v>
      </c>
      <c r="C121" t="s">
        <v>2026</v>
      </c>
      <c r="D121" t="s">
        <v>1803</v>
      </c>
      <c r="E121" t="s">
        <v>1788</v>
      </c>
      <c r="F121" t="s">
        <v>1789</v>
      </c>
    </row>
    <row r="122" spans="1:8">
      <c r="A122" t="s">
        <v>2029</v>
      </c>
      <c r="B122">
        <v>1251</v>
      </c>
      <c r="C122" t="s">
        <v>2031</v>
      </c>
      <c r="D122" t="s">
        <v>1787</v>
      </c>
      <c r="E122" t="s">
        <v>1792</v>
      </c>
      <c r="F122" t="s">
        <v>1793</v>
      </c>
    </row>
    <row r="123" spans="1:8">
      <c r="A123" t="s">
        <v>2029</v>
      </c>
      <c r="B123">
        <v>1252</v>
      </c>
      <c r="C123" t="s">
        <v>2032</v>
      </c>
      <c r="D123" t="s">
        <v>1787</v>
      </c>
      <c r="E123" t="s">
        <v>1789</v>
      </c>
      <c r="F123" t="s">
        <v>1796</v>
      </c>
    </row>
    <row r="124" spans="1:8">
      <c r="A124" t="s">
        <v>2029</v>
      </c>
      <c r="B124">
        <v>1253</v>
      </c>
      <c r="C124" t="s">
        <v>2033</v>
      </c>
      <c r="D124" t="s">
        <v>1787</v>
      </c>
      <c r="E124" t="s">
        <v>1788</v>
      </c>
      <c r="F124" t="s">
        <v>1799</v>
      </c>
    </row>
    <row r="125" spans="1:8">
      <c r="A125" t="s">
        <v>2029</v>
      </c>
      <c r="B125">
        <v>1254</v>
      </c>
      <c r="C125" t="s">
        <v>2034</v>
      </c>
      <c r="D125" t="s">
        <v>1787</v>
      </c>
      <c r="E125" t="s">
        <v>1806</v>
      </c>
      <c r="F125" t="s">
        <v>1800</v>
      </c>
    </row>
    <row r="126" spans="1:8">
      <c r="A126" t="s">
        <v>2029</v>
      </c>
      <c r="B126">
        <v>1255</v>
      </c>
      <c r="C126" t="s">
        <v>2035</v>
      </c>
      <c r="D126" t="s">
        <v>1803</v>
      </c>
      <c r="E126" t="s">
        <v>1793</v>
      </c>
      <c r="F126" t="s">
        <v>1800</v>
      </c>
    </row>
    <row r="127" spans="1:8">
      <c r="A127" t="s">
        <v>2029</v>
      </c>
      <c r="B127">
        <v>1256</v>
      </c>
      <c r="C127" t="s">
        <v>2036</v>
      </c>
      <c r="D127" t="s">
        <v>1803</v>
      </c>
      <c r="E127" t="s">
        <v>1788</v>
      </c>
      <c r="F127" t="s">
        <v>1806</v>
      </c>
    </row>
    <row r="128" spans="1:8">
      <c r="A128" t="s">
        <v>2029</v>
      </c>
      <c r="B128">
        <v>1257</v>
      </c>
      <c r="C128" t="s">
        <v>2037</v>
      </c>
      <c r="D128" t="s">
        <v>1803</v>
      </c>
      <c r="E128" t="s">
        <v>1792</v>
      </c>
      <c r="F128" t="s">
        <v>1796</v>
      </c>
    </row>
    <row r="129" spans="1:6">
      <c r="A129" t="s">
        <v>2029</v>
      </c>
      <c r="B129">
        <v>1258</v>
      </c>
      <c r="C129" t="s">
        <v>2038</v>
      </c>
      <c r="D129" t="s">
        <v>1803</v>
      </c>
      <c r="E129" t="s">
        <v>1789</v>
      </c>
      <c r="F129" t="s">
        <v>1799</v>
      </c>
    </row>
    <row r="130" spans="1:6">
      <c r="A130" t="s">
        <v>2041</v>
      </c>
      <c r="B130" t="s">
        <v>2043</v>
      </c>
      <c r="C130" t="s">
        <v>2044</v>
      </c>
      <c r="D130" t="s">
        <v>1787</v>
      </c>
      <c r="E130" t="s">
        <v>1788</v>
      </c>
      <c r="F130" t="s">
        <v>1789</v>
      </c>
    </row>
    <row r="131" spans="1:6">
      <c r="A131" t="s">
        <v>2041</v>
      </c>
      <c r="B131" t="s">
        <v>2045</v>
      </c>
      <c r="C131" t="s">
        <v>2046</v>
      </c>
      <c r="D131" t="s">
        <v>1787</v>
      </c>
      <c r="E131" t="s">
        <v>1792</v>
      </c>
      <c r="F131" t="s">
        <v>1793</v>
      </c>
    </row>
    <row r="132" spans="1:6">
      <c r="A132" t="s">
        <v>2041</v>
      </c>
      <c r="B132" t="s">
        <v>2047</v>
      </c>
      <c r="C132" t="s">
        <v>2048</v>
      </c>
      <c r="D132" t="s">
        <v>1787</v>
      </c>
      <c r="E132" t="s">
        <v>1806</v>
      </c>
      <c r="F132" t="s">
        <v>1800</v>
      </c>
    </row>
    <row r="133" spans="1:6">
      <c r="A133" t="s">
        <v>2041</v>
      </c>
      <c r="B133" t="s">
        <v>2049</v>
      </c>
      <c r="C133" t="s">
        <v>2050</v>
      </c>
      <c r="D133" t="s">
        <v>1787</v>
      </c>
      <c r="E133" t="s">
        <v>1796</v>
      </c>
      <c r="F133" t="s">
        <v>1799</v>
      </c>
    </row>
    <row r="134" spans="1:6">
      <c r="A134" t="s">
        <v>2041</v>
      </c>
      <c r="B134" t="s">
        <v>2051</v>
      </c>
      <c r="C134" t="s">
        <v>2052</v>
      </c>
      <c r="D134" t="s">
        <v>1803</v>
      </c>
      <c r="E134" t="s">
        <v>1796</v>
      </c>
      <c r="F134" t="s">
        <v>1799</v>
      </c>
    </row>
    <row r="135" spans="1:6">
      <c r="A135" t="s">
        <v>2041</v>
      </c>
      <c r="B135" t="s">
        <v>2053</v>
      </c>
      <c r="C135" t="s">
        <v>2054</v>
      </c>
      <c r="D135" t="s">
        <v>1803</v>
      </c>
      <c r="E135" t="s">
        <v>1788</v>
      </c>
      <c r="F135" t="s">
        <v>1789</v>
      </c>
    </row>
    <row r="136" spans="1:6">
      <c r="A136" t="s">
        <v>2041</v>
      </c>
      <c r="B136" t="s">
        <v>2055</v>
      </c>
      <c r="C136" t="s">
        <v>2056</v>
      </c>
      <c r="D136" t="s">
        <v>1803</v>
      </c>
      <c r="E136" t="s">
        <v>1792</v>
      </c>
      <c r="F136" t="s">
        <v>1793</v>
      </c>
    </row>
    <row r="137" spans="1:6">
      <c r="A137" t="s">
        <v>2041</v>
      </c>
      <c r="B137" t="s">
        <v>2057</v>
      </c>
      <c r="C137" t="s">
        <v>2058</v>
      </c>
      <c r="D137" t="s">
        <v>1803</v>
      </c>
      <c r="E137" t="s">
        <v>1806</v>
      </c>
      <c r="F137" t="s">
        <v>1800</v>
      </c>
    </row>
    <row r="138" spans="1:6">
      <c r="A138" t="s">
        <v>2061</v>
      </c>
      <c r="B138">
        <v>1291</v>
      </c>
      <c r="C138" t="s">
        <v>2063</v>
      </c>
      <c r="D138" t="s">
        <v>1787</v>
      </c>
      <c r="E138" t="s">
        <v>1792</v>
      </c>
      <c r="F138" t="s">
        <v>1806</v>
      </c>
    </row>
    <row r="139" spans="1:6">
      <c r="A139" t="s">
        <v>2061</v>
      </c>
      <c r="B139">
        <v>1292</v>
      </c>
      <c r="C139" t="s">
        <v>2064</v>
      </c>
      <c r="D139" t="s">
        <v>1787</v>
      </c>
      <c r="E139" t="s">
        <v>1789</v>
      </c>
      <c r="F139" t="s">
        <v>1799</v>
      </c>
    </row>
    <row r="140" spans="1:6">
      <c r="A140" t="s">
        <v>2061</v>
      </c>
      <c r="B140">
        <v>1293</v>
      </c>
      <c r="C140" t="s">
        <v>2065</v>
      </c>
      <c r="D140" t="s">
        <v>1787</v>
      </c>
      <c r="E140" t="s">
        <v>1788</v>
      </c>
      <c r="F140" t="s">
        <v>1793</v>
      </c>
    </row>
    <row r="141" spans="1:6">
      <c r="A141" t="s">
        <v>2061</v>
      </c>
      <c r="B141">
        <v>1294</v>
      </c>
      <c r="C141" t="s">
        <v>2066</v>
      </c>
      <c r="D141" t="s">
        <v>1787</v>
      </c>
      <c r="E141" t="s">
        <v>1796</v>
      </c>
      <c r="F141" t="s">
        <v>1800</v>
      </c>
    </row>
    <row r="142" spans="1:6">
      <c r="A142" t="s">
        <v>2061</v>
      </c>
      <c r="B142">
        <v>1295</v>
      </c>
      <c r="C142" t="s">
        <v>2067</v>
      </c>
      <c r="D142" t="s">
        <v>1803</v>
      </c>
      <c r="E142" t="s">
        <v>1792</v>
      </c>
      <c r="F142" t="s">
        <v>1793</v>
      </c>
    </row>
    <row r="143" spans="1:6">
      <c r="A143" t="s">
        <v>2061</v>
      </c>
      <c r="B143">
        <v>1296</v>
      </c>
      <c r="C143" t="s">
        <v>2068</v>
      </c>
      <c r="D143" t="s">
        <v>1803</v>
      </c>
      <c r="E143" t="s">
        <v>1789</v>
      </c>
      <c r="F143" t="s">
        <v>1799</v>
      </c>
    </row>
    <row r="144" spans="1:6">
      <c r="A144" t="s">
        <v>2061</v>
      </c>
      <c r="B144">
        <v>1297</v>
      </c>
      <c r="C144" t="s">
        <v>2069</v>
      </c>
      <c r="D144" t="s">
        <v>1803</v>
      </c>
      <c r="E144" t="s">
        <v>1806</v>
      </c>
      <c r="F144" t="s">
        <v>1800</v>
      </c>
    </row>
    <row r="145" spans="1:6">
      <c r="A145" t="s">
        <v>2061</v>
      </c>
      <c r="B145">
        <v>1298</v>
      </c>
      <c r="C145" t="s">
        <v>2070</v>
      </c>
      <c r="D145" t="s">
        <v>1803</v>
      </c>
      <c r="E145" t="s">
        <v>1788</v>
      </c>
      <c r="F145" t="s">
        <v>1796</v>
      </c>
    </row>
    <row r="146" spans="1:6">
      <c r="A146" t="s">
        <v>2073</v>
      </c>
      <c r="B146" t="s">
        <v>2075</v>
      </c>
      <c r="C146" t="s">
        <v>2076</v>
      </c>
      <c r="D146" t="s">
        <v>1787</v>
      </c>
      <c r="E146" t="s">
        <v>1796</v>
      </c>
      <c r="F146" t="s">
        <v>1799</v>
      </c>
    </row>
    <row r="147" spans="1:6">
      <c r="A147" t="s">
        <v>2073</v>
      </c>
      <c r="B147" t="s">
        <v>2077</v>
      </c>
      <c r="C147" t="s">
        <v>2078</v>
      </c>
      <c r="D147" t="s">
        <v>1787</v>
      </c>
      <c r="E147" t="s">
        <v>1788</v>
      </c>
      <c r="F147" t="s">
        <v>1806</v>
      </c>
    </row>
    <row r="148" spans="1:6">
      <c r="A148" t="s">
        <v>2073</v>
      </c>
      <c r="B148" t="s">
        <v>2079</v>
      </c>
      <c r="C148" t="s">
        <v>2080</v>
      </c>
      <c r="D148" t="s">
        <v>1787</v>
      </c>
      <c r="E148" t="s">
        <v>1793</v>
      </c>
      <c r="F148" t="s">
        <v>1800</v>
      </c>
    </row>
    <row r="149" spans="1:6">
      <c r="A149" t="s">
        <v>2073</v>
      </c>
      <c r="B149" t="s">
        <v>2081</v>
      </c>
      <c r="C149" t="s">
        <v>2082</v>
      </c>
      <c r="D149" t="s">
        <v>1787</v>
      </c>
      <c r="E149" t="s">
        <v>1789</v>
      </c>
      <c r="F149" t="s">
        <v>1792</v>
      </c>
    </row>
    <row r="150" spans="1:6">
      <c r="A150" t="s">
        <v>2073</v>
      </c>
      <c r="B150" t="s">
        <v>2083</v>
      </c>
      <c r="C150" t="s">
        <v>2084</v>
      </c>
      <c r="D150" t="s">
        <v>1803</v>
      </c>
      <c r="E150" t="s">
        <v>1788</v>
      </c>
      <c r="F150" t="s">
        <v>1796</v>
      </c>
    </row>
    <row r="151" spans="1:6">
      <c r="A151" t="s">
        <v>2073</v>
      </c>
      <c r="B151" t="s">
        <v>2085</v>
      </c>
      <c r="C151" t="s">
        <v>2086</v>
      </c>
      <c r="D151" t="s">
        <v>1803</v>
      </c>
      <c r="E151" t="s">
        <v>1792</v>
      </c>
      <c r="F151" t="s">
        <v>1793</v>
      </c>
    </row>
    <row r="152" spans="1:6">
      <c r="A152" t="s">
        <v>2073</v>
      </c>
      <c r="B152" t="s">
        <v>2087</v>
      </c>
      <c r="C152" t="s">
        <v>2088</v>
      </c>
      <c r="D152" t="s">
        <v>1803</v>
      </c>
      <c r="E152" t="s">
        <v>1799</v>
      </c>
      <c r="F152" t="s">
        <v>1800</v>
      </c>
    </row>
    <row r="153" spans="1:6">
      <c r="A153" t="s">
        <v>2073</v>
      </c>
      <c r="B153" t="s">
        <v>2089</v>
      </c>
      <c r="C153" t="s">
        <v>2090</v>
      </c>
      <c r="D153" t="s">
        <v>1803</v>
      </c>
      <c r="E153" t="s">
        <v>1789</v>
      </c>
      <c r="F153" t="s">
        <v>1806</v>
      </c>
    </row>
    <row r="154" spans="1:6">
      <c r="A154" t="s">
        <v>2093</v>
      </c>
      <c r="B154" t="s">
        <v>2095</v>
      </c>
      <c r="C154" t="s">
        <v>2096</v>
      </c>
      <c r="D154" t="s">
        <v>1787</v>
      </c>
      <c r="E154" t="s">
        <v>1796</v>
      </c>
      <c r="F154" t="s">
        <v>1799</v>
      </c>
    </row>
    <row r="155" spans="1:6">
      <c r="A155" t="s">
        <v>2093</v>
      </c>
      <c r="B155" t="s">
        <v>2097</v>
      </c>
      <c r="C155" t="s">
        <v>2099</v>
      </c>
      <c r="D155" t="s">
        <v>1787</v>
      </c>
      <c r="E155" t="s">
        <v>1792</v>
      </c>
      <c r="F155" t="s">
        <v>1793</v>
      </c>
    </row>
    <row r="156" spans="1:6">
      <c r="A156" t="s">
        <v>2093</v>
      </c>
      <c r="B156" t="s">
        <v>2102</v>
      </c>
      <c r="C156" t="s">
        <v>2101</v>
      </c>
      <c r="D156" t="s">
        <v>1787</v>
      </c>
      <c r="E156" t="s">
        <v>1788</v>
      </c>
      <c r="F156" t="s">
        <v>1806</v>
      </c>
    </row>
    <row r="157" spans="1:6">
      <c r="A157" t="s">
        <v>2093</v>
      </c>
      <c r="B157" t="s">
        <v>2105</v>
      </c>
      <c r="C157" t="s">
        <v>2104</v>
      </c>
      <c r="D157" t="s">
        <v>1787</v>
      </c>
      <c r="E157" t="s">
        <v>1789</v>
      </c>
      <c r="F157" t="s">
        <v>1800</v>
      </c>
    </row>
    <row r="158" spans="1:6">
      <c r="A158" t="s">
        <v>2093</v>
      </c>
      <c r="B158" t="s">
        <v>2108</v>
      </c>
      <c r="C158" t="s">
        <v>2107</v>
      </c>
      <c r="D158" t="s">
        <v>1803</v>
      </c>
      <c r="E158" t="s">
        <v>1792</v>
      </c>
      <c r="F158" t="s">
        <v>1793</v>
      </c>
    </row>
    <row r="159" spans="1:6">
      <c r="A159" t="s">
        <v>2093</v>
      </c>
      <c r="B159" t="s">
        <v>2111</v>
      </c>
      <c r="C159" t="s">
        <v>2110</v>
      </c>
      <c r="D159" t="s">
        <v>1803</v>
      </c>
      <c r="E159" t="s">
        <v>1796</v>
      </c>
      <c r="F159" t="s">
        <v>1799</v>
      </c>
    </row>
    <row r="160" spans="1:6">
      <c r="A160" t="s">
        <v>2093</v>
      </c>
      <c r="B160" t="s">
        <v>2114</v>
      </c>
      <c r="C160" t="s">
        <v>2113</v>
      </c>
      <c r="D160" t="s">
        <v>1803</v>
      </c>
      <c r="E160" t="s">
        <v>1788</v>
      </c>
      <c r="F160" t="s">
        <v>1789</v>
      </c>
    </row>
    <row r="161" spans="1:6">
      <c r="A161" t="s">
        <v>2093</v>
      </c>
      <c r="B161" t="s">
        <v>2117</v>
      </c>
      <c r="C161" t="s">
        <v>2116</v>
      </c>
      <c r="D161" t="s">
        <v>1803</v>
      </c>
      <c r="E161" t="s">
        <v>1806</v>
      </c>
      <c r="F161" t="s">
        <v>1800</v>
      </c>
    </row>
    <row r="162" spans="1:6">
      <c r="A162" t="s">
        <v>2120</v>
      </c>
      <c r="B162" t="s">
        <v>2122</v>
      </c>
      <c r="C162" t="s">
        <v>2123</v>
      </c>
      <c r="D162" t="s">
        <v>1787</v>
      </c>
      <c r="E162" t="s">
        <v>1796</v>
      </c>
      <c r="F162" t="s">
        <v>1799</v>
      </c>
    </row>
    <row r="163" spans="1:6">
      <c r="A163" t="s">
        <v>2120</v>
      </c>
      <c r="B163" t="s">
        <v>2124</v>
      </c>
      <c r="C163" t="s">
        <v>2125</v>
      </c>
      <c r="D163" t="s">
        <v>1787</v>
      </c>
      <c r="E163" t="s">
        <v>1792</v>
      </c>
      <c r="F163" t="s">
        <v>1793</v>
      </c>
    </row>
    <row r="164" spans="1:6">
      <c r="A164" t="s">
        <v>2120</v>
      </c>
      <c r="B164" t="s">
        <v>2128</v>
      </c>
      <c r="C164" t="s">
        <v>2127</v>
      </c>
      <c r="D164" t="s">
        <v>1787</v>
      </c>
      <c r="E164" t="s">
        <v>1788</v>
      </c>
      <c r="F164" t="s">
        <v>1789</v>
      </c>
    </row>
    <row r="165" spans="1:6">
      <c r="A165" t="s">
        <v>2120</v>
      </c>
      <c r="B165" t="s">
        <v>2131</v>
      </c>
      <c r="C165" t="s">
        <v>2130</v>
      </c>
      <c r="D165" t="s">
        <v>1787</v>
      </c>
      <c r="E165" t="s">
        <v>1806</v>
      </c>
      <c r="F165" t="s">
        <v>1800</v>
      </c>
    </row>
    <row r="166" spans="1:6">
      <c r="A166" t="s">
        <v>2120</v>
      </c>
      <c r="B166" t="s">
        <v>2135</v>
      </c>
      <c r="C166" t="s">
        <v>2133</v>
      </c>
      <c r="D166" t="s">
        <v>596</v>
      </c>
      <c r="E166" t="s">
        <v>467</v>
      </c>
      <c r="F166" t="s">
        <v>466</v>
      </c>
    </row>
    <row r="167" spans="1:6">
      <c r="A167" t="s">
        <v>2120</v>
      </c>
      <c r="B167" t="s">
        <v>2139</v>
      </c>
      <c r="C167" t="s">
        <v>2137</v>
      </c>
      <c r="D167" t="s">
        <v>596</v>
      </c>
      <c r="E167" t="s">
        <v>462</v>
      </c>
      <c r="F167" t="s">
        <v>464</v>
      </c>
    </row>
    <row r="168" spans="1:6">
      <c r="A168" t="s">
        <v>2120</v>
      </c>
      <c r="B168" t="s">
        <v>2143</v>
      </c>
      <c r="C168" t="s">
        <v>2141</v>
      </c>
      <c r="D168" t="s">
        <v>596</v>
      </c>
      <c r="E168" t="s">
        <v>461</v>
      </c>
      <c r="F168" t="s">
        <v>463</v>
      </c>
    </row>
    <row r="169" spans="1:6">
      <c r="A169" t="s">
        <v>2120</v>
      </c>
      <c r="B169" t="s">
        <v>2145</v>
      </c>
    </row>
    <row r="170" spans="1:6">
      <c r="A170" t="s">
        <v>2148</v>
      </c>
      <c r="B170" t="s">
        <v>2150</v>
      </c>
      <c r="C170" t="s">
        <v>2151</v>
      </c>
      <c r="D170" t="s">
        <v>1787</v>
      </c>
      <c r="E170" t="s">
        <v>1788</v>
      </c>
      <c r="F170" t="s">
        <v>1799</v>
      </c>
    </row>
    <row r="171" spans="1:6">
      <c r="A171" t="s">
        <v>2148</v>
      </c>
      <c r="B171">
        <v>2412</v>
      </c>
      <c r="C171" t="s">
        <v>2152</v>
      </c>
      <c r="D171" t="s">
        <v>1787</v>
      </c>
      <c r="E171" t="s">
        <v>1792</v>
      </c>
      <c r="F171" t="s">
        <v>2153</v>
      </c>
    </row>
    <row r="172" spans="1:6">
      <c r="A172" t="s">
        <v>2148</v>
      </c>
      <c r="B172" t="s">
        <v>2154</v>
      </c>
      <c r="C172" t="s">
        <v>2155</v>
      </c>
      <c r="D172" t="s">
        <v>1787</v>
      </c>
      <c r="E172" t="s">
        <v>1789</v>
      </c>
      <c r="F172" t="s">
        <v>1796</v>
      </c>
    </row>
    <row r="173" spans="1:6">
      <c r="A173" t="s">
        <v>2148</v>
      </c>
      <c r="B173" t="s">
        <v>2156</v>
      </c>
      <c r="C173" t="s">
        <v>2157</v>
      </c>
      <c r="D173" t="s">
        <v>1787</v>
      </c>
      <c r="E173" t="s">
        <v>2158</v>
      </c>
      <c r="F173" t="s">
        <v>1800</v>
      </c>
    </row>
    <row r="174" spans="1:6">
      <c r="A174" t="s">
        <v>2148</v>
      </c>
      <c r="B174" t="s">
        <v>2159</v>
      </c>
      <c r="C174" t="s">
        <v>2160</v>
      </c>
      <c r="D174" t="s">
        <v>1787</v>
      </c>
      <c r="E174" t="s">
        <v>1792</v>
      </c>
      <c r="F174" t="s">
        <v>2153</v>
      </c>
    </row>
    <row r="175" spans="1:6">
      <c r="A175" t="s">
        <v>2148</v>
      </c>
      <c r="B175" t="s">
        <v>2161</v>
      </c>
      <c r="C175" t="s">
        <v>2162</v>
      </c>
      <c r="D175" t="s">
        <v>1787</v>
      </c>
      <c r="E175" t="s">
        <v>2158</v>
      </c>
      <c r="F175" t="s">
        <v>1800</v>
      </c>
    </row>
    <row r="176" spans="1:6">
      <c r="A176" t="s">
        <v>2148</v>
      </c>
      <c r="B176" t="s">
        <v>2163</v>
      </c>
      <c r="C176" t="s">
        <v>2164</v>
      </c>
      <c r="D176" t="s">
        <v>1803</v>
      </c>
      <c r="E176" t="s">
        <v>1788</v>
      </c>
      <c r="F176" t="s">
        <v>1789</v>
      </c>
    </row>
    <row r="177" spans="1:6">
      <c r="A177" t="s">
        <v>2148</v>
      </c>
      <c r="B177" t="s">
        <v>2165</v>
      </c>
      <c r="C177" t="s">
        <v>2166</v>
      </c>
      <c r="D177" t="s">
        <v>1803</v>
      </c>
      <c r="E177" t="s">
        <v>1792</v>
      </c>
      <c r="F177" t="s">
        <v>2153</v>
      </c>
    </row>
    <row r="178" spans="1:6">
      <c r="A178" t="s">
        <v>2148</v>
      </c>
      <c r="B178" t="s">
        <v>2169</v>
      </c>
      <c r="C178" t="s">
        <v>2170</v>
      </c>
      <c r="D178" t="s">
        <v>1803</v>
      </c>
      <c r="E178" t="s">
        <v>1796</v>
      </c>
      <c r="F178" t="s">
        <v>1799</v>
      </c>
    </row>
    <row r="179" spans="1:6">
      <c r="A179" t="s">
        <v>2148</v>
      </c>
      <c r="B179" t="s">
        <v>2171</v>
      </c>
      <c r="C179" t="s">
        <v>2172</v>
      </c>
      <c r="D179" t="s">
        <v>1803</v>
      </c>
      <c r="E179" t="s">
        <v>1788</v>
      </c>
      <c r="F179" t="s">
        <v>1789</v>
      </c>
    </row>
    <row r="180" spans="1:6">
      <c r="A180" t="s">
        <v>2148</v>
      </c>
      <c r="B180" t="s">
        <v>2173</v>
      </c>
      <c r="C180" t="s">
        <v>2174</v>
      </c>
      <c r="D180" t="s">
        <v>1803</v>
      </c>
      <c r="E180" t="s">
        <v>2158</v>
      </c>
      <c r="F180" t="s">
        <v>1800</v>
      </c>
    </row>
    <row r="181" spans="1:6">
      <c r="A181" t="s">
        <v>2148</v>
      </c>
      <c r="B181" t="s">
        <v>2175</v>
      </c>
      <c r="C181" t="s">
        <v>2176</v>
      </c>
      <c r="D181" t="s">
        <v>1803</v>
      </c>
      <c r="E181" t="s">
        <v>1796</v>
      </c>
      <c r="F181" t="s">
        <v>1799</v>
      </c>
    </row>
    <row r="182" spans="1:6">
      <c r="A182" t="s">
        <v>2148</v>
      </c>
      <c r="B182" t="s">
        <v>2177</v>
      </c>
    </row>
    <row r="183" spans="1:6">
      <c r="A183" t="s">
        <v>2148</v>
      </c>
      <c r="B183" t="s">
        <v>2178</v>
      </c>
    </row>
    <row r="184" spans="1:6">
      <c r="A184" t="s">
        <v>2148</v>
      </c>
      <c r="B184" t="s">
        <v>2177</v>
      </c>
    </row>
    <row r="185" spans="1:6">
      <c r="A185" t="s">
        <v>2148</v>
      </c>
      <c r="B185" t="s">
        <v>2178</v>
      </c>
    </row>
    <row r="186" spans="1:6">
      <c r="A186" t="s">
        <v>2181</v>
      </c>
      <c r="B186" t="s">
        <v>2183</v>
      </c>
      <c r="C186" t="s">
        <v>2185</v>
      </c>
      <c r="D186" t="s">
        <v>1787</v>
      </c>
      <c r="E186" t="s">
        <v>1788</v>
      </c>
      <c r="F186" t="s">
        <v>1789</v>
      </c>
    </row>
    <row r="187" spans="1:6">
      <c r="A187" t="s">
        <v>2181</v>
      </c>
      <c r="B187" t="s">
        <v>2186</v>
      </c>
      <c r="C187" t="s">
        <v>2187</v>
      </c>
      <c r="D187" t="s">
        <v>1787</v>
      </c>
      <c r="E187" t="s">
        <v>1796</v>
      </c>
      <c r="F187" t="s">
        <v>1799</v>
      </c>
    </row>
    <row r="188" spans="1:6">
      <c r="A188" t="s">
        <v>2181</v>
      </c>
      <c r="B188" t="s">
        <v>2188</v>
      </c>
      <c r="C188" t="s">
        <v>2190</v>
      </c>
      <c r="D188" t="s">
        <v>1787</v>
      </c>
      <c r="E188" t="s">
        <v>1796</v>
      </c>
      <c r="F188" t="s">
        <v>1799</v>
      </c>
    </row>
    <row r="189" spans="1:6">
      <c r="A189" t="s">
        <v>2181</v>
      </c>
      <c r="B189" t="s">
        <v>2191</v>
      </c>
      <c r="C189" t="s">
        <v>2192</v>
      </c>
      <c r="D189" t="s">
        <v>1787</v>
      </c>
      <c r="E189" t="s">
        <v>1792</v>
      </c>
      <c r="F189" t="s">
        <v>2153</v>
      </c>
    </row>
    <row r="190" spans="1:6">
      <c r="A190" t="s">
        <v>2181</v>
      </c>
      <c r="B190" t="s">
        <v>2193</v>
      </c>
      <c r="C190" t="s">
        <v>2194</v>
      </c>
      <c r="D190" t="s">
        <v>1787</v>
      </c>
      <c r="E190" t="s">
        <v>2158</v>
      </c>
      <c r="F190" t="s">
        <v>1800</v>
      </c>
    </row>
    <row r="191" spans="1:6">
      <c r="A191" t="s">
        <v>2181</v>
      </c>
      <c r="B191" t="s">
        <v>2195</v>
      </c>
      <c r="C191" t="s">
        <v>2196</v>
      </c>
      <c r="D191" t="s">
        <v>1787</v>
      </c>
      <c r="E191" t="s">
        <v>2158</v>
      </c>
      <c r="F191" t="s">
        <v>1800</v>
      </c>
    </row>
    <row r="192" spans="1:6">
      <c r="A192" t="s">
        <v>2181</v>
      </c>
      <c r="B192" t="s">
        <v>2197</v>
      </c>
      <c r="C192" t="s">
        <v>2199</v>
      </c>
      <c r="D192" t="s">
        <v>1803</v>
      </c>
      <c r="E192" t="s">
        <v>1788</v>
      </c>
      <c r="F192" t="s">
        <v>1789</v>
      </c>
    </row>
    <row r="193" spans="1:6">
      <c r="A193" t="s">
        <v>2181</v>
      </c>
      <c r="B193" t="s">
        <v>2200</v>
      </c>
      <c r="C193" t="s">
        <v>2201</v>
      </c>
      <c r="D193" t="s">
        <v>1803</v>
      </c>
      <c r="E193" t="s">
        <v>1789</v>
      </c>
      <c r="F193" t="s">
        <v>1792</v>
      </c>
    </row>
    <row r="194" spans="1:6">
      <c r="A194" t="s">
        <v>2181</v>
      </c>
      <c r="B194" t="s">
        <v>2205</v>
      </c>
      <c r="C194" t="s">
        <v>2206</v>
      </c>
      <c r="D194" t="s">
        <v>1803</v>
      </c>
      <c r="E194" t="s">
        <v>1792</v>
      </c>
      <c r="F194" t="s">
        <v>2153</v>
      </c>
    </row>
    <row r="195" spans="1:6">
      <c r="A195" t="s">
        <v>2181</v>
      </c>
      <c r="B195" t="s">
        <v>2208</v>
      </c>
      <c r="C195" t="s">
        <v>2207</v>
      </c>
      <c r="D195" t="s">
        <v>1803</v>
      </c>
      <c r="E195" t="s">
        <v>1796</v>
      </c>
      <c r="F195" t="s">
        <v>1799</v>
      </c>
    </row>
    <row r="196" spans="1:6">
      <c r="A196" t="s">
        <v>2181</v>
      </c>
      <c r="B196" t="s">
        <v>2210</v>
      </c>
      <c r="C196" t="s">
        <v>2209</v>
      </c>
      <c r="D196" t="s">
        <v>1803</v>
      </c>
      <c r="E196" t="s">
        <v>1788</v>
      </c>
      <c r="F196" t="s">
        <v>2153</v>
      </c>
    </row>
    <row r="197" spans="1:6">
      <c r="A197" t="s">
        <v>2181</v>
      </c>
      <c r="B197" t="s">
        <v>2212</v>
      </c>
      <c r="C197" t="s">
        <v>2211</v>
      </c>
      <c r="D197" t="s">
        <v>1803</v>
      </c>
      <c r="E197" t="s">
        <v>2158</v>
      </c>
      <c r="F197" t="s">
        <v>1800</v>
      </c>
    </row>
    <row r="198" spans="1:6">
      <c r="A198" t="s">
        <v>2181</v>
      </c>
      <c r="B198">
        <v>242</v>
      </c>
    </row>
    <row r="199" spans="1:6">
      <c r="A199" t="s">
        <v>2181</v>
      </c>
      <c r="B199" t="s">
        <v>2213</v>
      </c>
    </row>
    <row r="200" spans="1:6">
      <c r="A200" t="s">
        <v>2181</v>
      </c>
      <c r="B200">
        <v>242</v>
      </c>
    </row>
    <row r="201" spans="1:6">
      <c r="A201" t="s">
        <v>2181</v>
      </c>
      <c r="B201" t="s">
        <v>2213</v>
      </c>
    </row>
    <row r="202" spans="1:6">
      <c r="A202" t="s">
        <v>2218</v>
      </c>
      <c r="B202">
        <v>2431</v>
      </c>
      <c r="C202" t="s">
        <v>2217</v>
      </c>
      <c r="D202" t="s">
        <v>1787</v>
      </c>
      <c r="E202" t="s">
        <v>1792</v>
      </c>
      <c r="F202" t="s">
        <v>2153</v>
      </c>
    </row>
    <row r="203" spans="1:6">
      <c r="A203" t="s">
        <v>2218</v>
      </c>
      <c r="B203" t="s">
        <v>2219</v>
      </c>
      <c r="C203" t="s">
        <v>2221</v>
      </c>
      <c r="D203" t="s">
        <v>1787</v>
      </c>
      <c r="E203" t="s">
        <v>1796</v>
      </c>
      <c r="F203" t="s">
        <v>1799</v>
      </c>
    </row>
    <row r="204" spans="1:6">
      <c r="A204" t="s">
        <v>2218</v>
      </c>
      <c r="B204">
        <v>2433</v>
      </c>
      <c r="C204" t="s">
        <v>2222</v>
      </c>
      <c r="D204" t="s">
        <v>1787</v>
      </c>
      <c r="E204" t="s">
        <v>1788</v>
      </c>
      <c r="F204" t="s">
        <v>1789</v>
      </c>
    </row>
    <row r="205" spans="1:6">
      <c r="A205" t="s">
        <v>2218</v>
      </c>
      <c r="B205" t="s">
        <v>2223</v>
      </c>
      <c r="C205" t="s">
        <v>2225</v>
      </c>
      <c r="D205" t="s">
        <v>1787</v>
      </c>
      <c r="E205" t="s">
        <v>1792</v>
      </c>
      <c r="F205" t="s">
        <v>2153</v>
      </c>
    </row>
    <row r="206" spans="1:6">
      <c r="A206" t="s">
        <v>2218</v>
      </c>
      <c r="B206" t="s">
        <v>2226</v>
      </c>
      <c r="C206" t="s">
        <v>2228</v>
      </c>
      <c r="D206" t="s">
        <v>1787</v>
      </c>
      <c r="E206" t="s">
        <v>2158</v>
      </c>
      <c r="F206" t="s">
        <v>1800</v>
      </c>
    </row>
    <row r="207" spans="1:6">
      <c r="A207" t="s">
        <v>2218</v>
      </c>
      <c r="B207" t="s">
        <v>2229</v>
      </c>
      <c r="C207" t="s">
        <v>2231</v>
      </c>
      <c r="D207" t="s">
        <v>1787</v>
      </c>
      <c r="E207" t="s">
        <v>2158</v>
      </c>
      <c r="F207" t="s">
        <v>1800</v>
      </c>
    </row>
    <row r="208" spans="1:6">
      <c r="A208" t="s">
        <v>2218</v>
      </c>
      <c r="B208">
        <v>2437</v>
      </c>
      <c r="C208" t="s">
        <v>2232</v>
      </c>
      <c r="D208" t="s">
        <v>1803</v>
      </c>
      <c r="E208" t="s">
        <v>1792</v>
      </c>
      <c r="F208" t="s">
        <v>2153</v>
      </c>
    </row>
    <row r="209" spans="1:6">
      <c r="A209" t="s">
        <v>2218</v>
      </c>
      <c r="B209" t="s">
        <v>2233</v>
      </c>
      <c r="C209" t="s">
        <v>2235</v>
      </c>
      <c r="D209" t="s">
        <v>1803</v>
      </c>
      <c r="E209" t="s">
        <v>1788</v>
      </c>
      <c r="F209" t="s">
        <v>1789</v>
      </c>
    </row>
    <row r="210" spans="1:6">
      <c r="A210" t="s">
        <v>2218</v>
      </c>
      <c r="B210" t="s">
        <v>2238</v>
      </c>
      <c r="C210" t="s">
        <v>2239</v>
      </c>
      <c r="D210" t="s">
        <v>1803</v>
      </c>
      <c r="E210" t="s">
        <v>1796</v>
      </c>
      <c r="F210" t="s">
        <v>1799</v>
      </c>
    </row>
    <row r="211" spans="1:6">
      <c r="A211" t="s">
        <v>2218</v>
      </c>
      <c r="B211" t="s">
        <v>2240</v>
      </c>
      <c r="C211" t="s">
        <v>2241</v>
      </c>
      <c r="D211" t="s">
        <v>1803</v>
      </c>
      <c r="E211" t="s">
        <v>1796</v>
      </c>
      <c r="F211" t="s">
        <v>1799</v>
      </c>
    </row>
    <row r="212" spans="1:6">
      <c r="A212" t="s">
        <v>2218</v>
      </c>
      <c r="B212" t="s">
        <v>2242</v>
      </c>
      <c r="C212" t="s">
        <v>2243</v>
      </c>
      <c r="D212" t="s">
        <v>1803</v>
      </c>
      <c r="E212" t="s">
        <v>1788</v>
      </c>
      <c r="F212" t="s">
        <v>1789</v>
      </c>
    </row>
    <row r="213" spans="1:6">
      <c r="A213" t="s">
        <v>2218</v>
      </c>
      <c r="B213" t="s">
        <v>2244</v>
      </c>
      <c r="C213" t="s">
        <v>2245</v>
      </c>
      <c r="D213" t="s">
        <v>1803</v>
      </c>
      <c r="E213" t="s">
        <v>2158</v>
      </c>
      <c r="F213" t="s">
        <v>1800</v>
      </c>
    </row>
    <row r="214" spans="1:6">
      <c r="A214" t="s">
        <v>2218</v>
      </c>
      <c r="B214" t="s">
        <v>2246</v>
      </c>
    </row>
    <row r="215" spans="1:6">
      <c r="A215" t="s">
        <v>2218</v>
      </c>
      <c r="B215" t="s">
        <v>2246</v>
      </c>
    </row>
    <row r="216" spans="1:6">
      <c r="A216" t="s">
        <v>2218</v>
      </c>
      <c r="B216" t="s">
        <v>2246</v>
      </c>
    </row>
    <row r="217" spans="1:6">
      <c r="A217" t="s">
        <v>2218</v>
      </c>
      <c r="B217" t="s">
        <v>2246</v>
      </c>
    </row>
    <row r="218" spans="1:6">
      <c r="A218" t="s">
        <v>2248</v>
      </c>
      <c r="B218">
        <v>2511</v>
      </c>
      <c r="C218" t="s">
        <v>2250</v>
      </c>
      <c r="D218" t="s">
        <v>1787</v>
      </c>
      <c r="E218" t="s">
        <v>2251</v>
      </c>
      <c r="F218" t="s">
        <v>2252</v>
      </c>
    </row>
    <row r="219" spans="1:6">
      <c r="A219" t="s">
        <v>2248</v>
      </c>
      <c r="B219">
        <v>2512</v>
      </c>
      <c r="C219" t="s">
        <v>2253</v>
      </c>
      <c r="D219" t="s">
        <v>1787</v>
      </c>
      <c r="E219" t="s">
        <v>2251</v>
      </c>
      <c r="F219" t="s">
        <v>2252</v>
      </c>
    </row>
    <row r="220" spans="1:6">
      <c r="A220" t="s">
        <v>2248</v>
      </c>
      <c r="B220">
        <v>2513</v>
      </c>
      <c r="C220" t="s">
        <v>2254</v>
      </c>
      <c r="D220" t="s">
        <v>1787</v>
      </c>
      <c r="E220" t="s">
        <v>2255</v>
      </c>
      <c r="F220" t="s">
        <v>2256</v>
      </c>
    </row>
    <row r="221" spans="1:6">
      <c r="A221" t="s">
        <v>2248</v>
      </c>
      <c r="B221">
        <v>2514</v>
      </c>
      <c r="C221" t="s">
        <v>2257</v>
      </c>
      <c r="D221" t="s">
        <v>1787</v>
      </c>
      <c r="E221" t="s">
        <v>2255</v>
      </c>
      <c r="F221" t="s">
        <v>2256</v>
      </c>
    </row>
    <row r="222" spans="1:6">
      <c r="A222" t="s">
        <v>2248</v>
      </c>
      <c r="B222">
        <v>2515</v>
      </c>
      <c r="C222" t="s">
        <v>2258</v>
      </c>
      <c r="D222" t="s">
        <v>1787</v>
      </c>
      <c r="E222" t="s">
        <v>2259</v>
      </c>
      <c r="F222" t="s">
        <v>2260</v>
      </c>
    </row>
    <row r="223" spans="1:6">
      <c r="A223" t="s">
        <v>2248</v>
      </c>
      <c r="B223">
        <v>2516</v>
      </c>
      <c r="C223" t="s">
        <v>2261</v>
      </c>
      <c r="D223" t="s">
        <v>1787</v>
      </c>
      <c r="E223" t="s">
        <v>2262</v>
      </c>
      <c r="F223" t="s">
        <v>2263</v>
      </c>
    </row>
    <row r="224" spans="1:6">
      <c r="A224" t="s">
        <v>2248</v>
      </c>
      <c r="B224">
        <v>2517</v>
      </c>
      <c r="C224" t="s">
        <v>2264</v>
      </c>
      <c r="D224" t="s">
        <v>1803</v>
      </c>
      <c r="E224" t="s">
        <v>2251</v>
      </c>
      <c r="F224" t="s">
        <v>2252</v>
      </c>
    </row>
    <row r="225" spans="1:6">
      <c r="A225" t="s">
        <v>2248</v>
      </c>
      <c r="B225">
        <v>2518</v>
      </c>
      <c r="C225" t="s">
        <v>2265</v>
      </c>
      <c r="D225" t="s">
        <v>1803</v>
      </c>
      <c r="E225" t="s">
        <v>2255</v>
      </c>
      <c r="F225" t="s">
        <v>2256</v>
      </c>
    </row>
    <row r="226" spans="1:6">
      <c r="A226" t="s">
        <v>2248</v>
      </c>
      <c r="B226" t="s">
        <v>2268</v>
      </c>
      <c r="C226" t="s">
        <v>2269</v>
      </c>
      <c r="D226" t="s">
        <v>1803</v>
      </c>
      <c r="E226" t="s">
        <v>2259</v>
      </c>
      <c r="F226" t="s">
        <v>2260</v>
      </c>
    </row>
    <row r="227" spans="1:6">
      <c r="A227" t="s">
        <v>2248</v>
      </c>
      <c r="B227" t="s">
        <v>2270</v>
      </c>
      <c r="C227" t="s">
        <v>2271</v>
      </c>
      <c r="D227" t="s">
        <v>1803</v>
      </c>
      <c r="E227" t="s">
        <v>2259</v>
      </c>
      <c r="F227" t="s">
        <v>2260</v>
      </c>
    </row>
    <row r="228" spans="1:6">
      <c r="A228" t="s">
        <v>2248</v>
      </c>
      <c r="B228" t="s">
        <v>2272</v>
      </c>
      <c r="C228" t="s">
        <v>2273</v>
      </c>
      <c r="D228" t="s">
        <v>1803</v>
      </c>
      <c r="E228" t="s">
        <v>2262</v>
      </c>
      <c r="F228" t="s">
        <v>2263</v>
      </c>
    </row>
    <row r="229" spans="1:6">
      <c r="A229" t="s">
        <v>2248</v>
      </c>
      <c r="B229" t="s">
        <v>2274</v>
      </c>
      <c r="C229" t="s">
        <v>2275</v>
      </c>
      <c r="D229" t="s">
        <v>1803</v>
      </c>
      <c r="E229" t="s">
        <v>2262</v>
      </c>
      <c r="F229" t="s">
        <v>2263</v>
      </c>
    </row>
    <row r="230" spans="1:6">
      <c r="A230" t="s">
        <v>2248</v>
      </c>
      <c r="B230" t="s">
        <v>2276</v>
      </c>
    </row>
    <row r="231" spans="1:6">
      <c r="A231" t="s">
        <v>2248</v>
      </c>
      <c r="B231" t="s">
        <v>2276</v>
      </c>
    </row>
    <row r="232" spans="1:6">
      <c r="A232" t="s">
        <v>2248</v>
      </c>
      <c r="B232" t="s">
        <v>2276</v>
      </c>
    </row>
    <row r="233" spans="1:6">
      <c r="A233" t="s">
        <v>2248</v>
      </c>
      <c r="B233" t="s">
        <v>2276</v>
      </c>
    </row>
    <row r="234" spans="1:6">
      <c r="A234" t="s">
        <v>2278</v>
      </c>
      <c r="B234" t="s">
        <v>2280</v>
      </c>
      <c r="C234" t="s">
        <v>2281</v>
      </c>
      <c r="D234" t="s">
        <v>1787</v>
      </c>
      <c r="E234" t="s">
        <v>2251</v>
      </c>
      <c r="F234" t="s">
        <v>2252</v>
      </c>
    </row>
    <row r="235" spans="1:6">
      <c r="A235" t="s">
        <v>2278</v>
      </c>
      <c r="B235" t="s">
        <v>2282</v>
      </c>
      <c r="C235" t="s">
        <v>2283</v>
      </c>
      <c r="D235" t="s">
        <v>1787</v>
      </c>
      <c r="E235" t="s">
        <v>2255</v>
      </c>
      <c r="F235" t="s">
        <v>2256</v>
      </c>
    </row>
    <row r="236" spans="1:6">
      <c r="A236" t="s">
        <v>2278</v>
      </c>
      <c r="B236" t="s">
        <v>2284</v>
      </c>
      <c r="C236" t="s">
        <v>2285</v>
      </c>
      <c r="D236" t="s">
        <v>1787</v>
      </c>
      <c r="E236" t="s">
        <v>2259</v>
      </c>
      <c r="F236" t="s">
        <v>2260</v>
      </c>
    </row>
    <row r="237" spans="1:6">
      <c r="A237" t="s">
        <v>2278</v>
      </c>
      <c r="B237" t="s">
        <v>2286</v>
      </c>
      <c r="C237" t="s">
        <v>2287</v>
      </c>
      <c r="D237" t="s">
        <v>1787</v>
      </c>
      <c r="E237" t="s">
        <v>2259</v>
      </c>
      <c r="F237" t="s">
        <v>2260</v>
      </c>
    </row>
    <row r="238" spans="1:6">
      <c r="A238" t="s">
        <v>2278</v>
      </c>
      <c r="B238" t="s">
        <v>2288</v>
      </c>
      <c r="C238" t="s">
        <v>2289</v>
      </c>
      <c r="D238" t="s">
        <v>1787</v>
      </c>
      <c r="E238" t="s">
        <v>2262</v>
      </c>
      <c r="F238" t="s">
        <v>2263</v>
      </c>
    </row>
    <row r="239" spans="1:6">
      <c r="A239" t="s">
        <v>2278</v>
      </c>
      <c r="B239" t="s">
        <v>2290</v>
      </c>
      <c r="C239" t="s">
        <v>2291</v>
      </c>
      <c r="D239" t="s">
        <v>1787</v>
      </c>
      <c r="E239" t="s">
        <v>2262</v>
      </c>
      <c r="F239" t="s">
        <v>2263</v>
      </c>
    </row>
    <row r="240" spans="1:6">
      <c r="A240" t="s">
        <v>2278</v>
      </c>
      <c r="B240" t="s">
        <v>2292</v>
      </c>
      <c r="C240" t="s">
        <v>2293</v>
      </c>
      <c r="D240" t="s">
        <v>1803</v>
      </c>
      <c r="E240" t="s">
        <v>2251</v>
      </c>
      <c r="F240" t="s">
        <v>2252</v>
      </c>
    </row>
    <row r="241" spans="1:6">
      <c r="A241" t="s">
        <v>2278</v>
      </c>
      <c r="B241" t="s">
        <v>2294</v>
      </c>
      <c r="C241" t="s">
        <v>2295</v>
      </c>
      <c r="D241" t="s">
        <v>1803</v>
      </c>
      <c r="E241" t="s">
        <v>2251</v>
      </c>
      <c r="F241" t="s">
        <v>2252</v>
      </c>
    </row>
    <row r="242" spans="1:6">
      <c r="A242" t="s">
        <v>2278</v>
      </c>
      <c r="B242" t="s">
        <v>2298</v>
      </c>
      <c r="C242" t="s">
        <v>2299</v>
      </c>
      <c r="D242" t="s">
        <v>1803</v>
      </c>
      <c r="E242" t="s">
        <v>2255</v>
      </c>
      <c r="F242" t="s">
        <v>2256</v>
      </c>
    </row>
    <row r="243" spans="1:6">
      <c r="A243" t="s">
        <v>2278</v>
      </c>
      <c r="B243" t="s">
        <v>2300</v>
      </c>
      <c r="C243" t="s">
        <v>2301</v>
      </c>
      <c r="D243" t="s">
        <v>1803</v>
      </c>
      <c r="E243" t="s">
        <v>2255</v>
      </c>
      <c r="F243" t="s">
        <v>2256</v>
      </c>
    </row>
    <row r="244" spans="1:6">
      <c r="A244" t="s">
        <v>2278</v>
      </c>
      <c r="B244" t="s">
        <v>2302</v>
      </c>
      <c r="C244" t="s">
        <v>2303</v>
      </c>
      <c r="D244" t="s">
        <v>1803</v>
      </c>
      <c r="E244" t="s">
        <v>2259</v>
      </c>
      <c r="F244" t="s">
        <v>2260</v>
      </c>
    </row>
    <row r="245" spans="1:6">
      <c r="A245" t="s">
        <v>2278</v>
      </c>
      <c r="B245" t="s">
        <v>2304</v>
      </c>
      <c r="C245" t="s">
        <v>2305</v>
      </c>
      <c r="D245" t="s">
        <v>1803</v>
      </c>
      <c r="E245" t="s">
        <v>2262</v>
      </c>
      <c r="F245" t="s">
        <v>2263</v>
      </c>
    </row>
    <row r="246" spans="1:6">
      <c r="A246" t="s">
        <v>2278</v>
      </c>
      <c r="B246" t="s">
        <v>2306</v>
      </c>
    </row>
    <row r="247" spans="1:6">
      <c r="A247" t="s">
        <v>2278</v>
      </c>
      <c r="B247" t="s">
        <v>2306</v>
      </c>
    </row>
    <row r="248" spans="1:6">
      <c r="A248" t="s">
        <v>2278</v>
      </c>
      <c r="B248" t="s">
        <v>2306</v>
      </c>
    </row>
    <row r="249" spans="1:6">
      <c r="A249" t="s">
        <v>2278</v>
      </c>
      <c r="B249" t="s">
        <v>2306</v>
      </c>
    </row>
    <row r="250" spans="1:6">
      <c r="A250" t="s">
        <v>2308</v>
      </c>
      <c r="B250" t="s">
        <v>2310</v>
      </c>
      <c r="C250" t="s">
        <v>2311</v>
      </c>
      <c r="D250" t="s">
        <v>1787</v>
      </c>
      <c r="E250" t="s">
        <v>2251</v>
      </c>
      <c r="F250" t="s">
        <v>2252</v>
      </c>
    </row>
    <row r="251" spans="1:6">
      <c r="A251" t="s">
        <v>2308</v>
      </c>
      <c r="B251" t="s">
        <v>2312</v>
      </c>
      <c r="C251" t="s">
        <v>2313</v>
      </c>
      <c r="D251" t="s">
        <v>1787</v>
      </c>
      <c r="E251" t="s">
        <v>2255</v>
      </c>
      <c r="F251" t="s">
        <v>2256</v>
      </c>
    </row>
    <row r="252" spans="1:6">
      <c r="A252" t="s">
        <v>2308</v>
      </c>
      <c r="B252" t="s">
        <v>2314</v>
      </c>
      <c r="C252" t="s">
        <v>2315</v>
      </c>
      <c r="D252" t="s">
        <v>1787</v>
      </c>
      <c r="E252" t="s">
        <v>2255</v>
      </c>
      <c r="F252" t="s">
        <v>2256</v>
      </c>
    </row>
    <row r="253" spans="1:6">
      <c r="A253" t="s">
        <v>2308</v>
      </c>
      <c r="B253" t="s">
        <v>2316</v>
      </c>
      <c r="C253" t="s">
        <v>2317</v>
      </c>
      <c r="D253" t="s">
        <v>1787</v>
      </c>
      <c r="E253" t="s">
        <v>2259</v>
      </c>
      <c r="F253" t="s">
        <v>2260</v>
      </c>
    </row>
    <row r="254" spans="1:6">
      <c r="A254" t="s">
        <v>2308</v>
      </c>
      <c r="B254" t="s">
        <v>2318</v>
      </c>
      <c r="C254" t="s">
        <v>2319</v>
      </c>
      <c r="D254" t="s">
        <v>1787</v>
      </c>
      <c r="E254" t="s">
        <v>2259</v>
      </c>
      <c r="F254" t="s">
        <v>1799</v>
      </c>
    </row>
    <row r="255" spans="1:6">
      <c r="A255" t="s">
        <v>2308</v>
      </c>
      <c r="B255" t="s">
        <v>2320</v>
      </c>
      <c r="C255" t="s">
        <v>2321</v>
      </c>
      <c r="D255" t="s">
        <v>1787</v>
      </c>
      <c r="E255" t="s">
        <v>2262</v>
      </c>
      <c r="F255" t="s">
        <v>1800</v>
      </c>
    </row>
    <row r="256" spans="1:6">
      <c r="A256" t="s">
        <v>2308</v>
      </c>
      <c r="B256" t="s">
        <v>2322</v>
      </c>
      <c r="C256" t="s">
        <v>2323</v>
      </c>
      <c r="D256" t="s">
        <v>1803</v>
      </c>
      <c r="E256" t="s">
        <v>2251</v>
      </c>
      <c r="F256" t="s">
        <v>1789</v>
      </c>
    </row>
    <row r="257" spans="1:6">
      <c r="A257" t="s">
        <v>2308</v>
      </c>
      <c r="B257" t="s">
        <v>2324</v>
      </c>
      <c r="C257" t="s">
        <v>2325</v>
      </c>
      <c r="D257" t="s">
        <v>1803</v>
      </c>
      <c r="E257" t="s">
        <v>2251</v>
      </c>
      <c r="F257" t="s">
        <v>2252</v>
      </c>
    </row>
    <row r="258" spans="1:6">
      <c r="A258" t="s">
        <v>2308</v>
      </c>
      <c r="B258" t="s">
        <v>2328</v>
      </c>
      <c r="C258" t="s">
        <v>2329</v>
      </c>
      <c r="D258" t="s">
        <v>1803</v>
      </c>
      <c r="E258" t="s">
        <v>2255</v>
      </c>
      <c r="F258" t="s">
        <v>2256</v>
      </c>
    </row>
    <row r="259" spans="1:6">
      <c r="A259" t="s">
        <v>2308</v>
      </c>
      <c r="B259" t="s">
        <v>2330</v>
      </c>
      <c r="C259" t="s">
        <v>2331</v>
      </c>
      <c r="D259" t="s">
        <v>1803</v>
      </c>
      <c r="E259" t="s">
        <v>2259</v>
      </c>
      <c r="F259" t="s">
        <v>2260</v>
      </c>
    </row>
    <row r="260" spans="1:6">
      <c r="A260" t="s">
        <v>2308</v>
      </c>
      <c r="B260" t="s">
        <v>2332</v>
      </c>
      <c r="C260" t="s">
        <v>2333</v>
      </c>
      <c r="D260" t="s">
        <v>1803</v>
      </c>
      <c r="E260" t="s">
        <v>2262</v>
      </c>
      <c r="F260" t="s">
        <v>2263</v>
      </c>
    </row>
    <row r="261" spans="1:6">
      <c r="A261" t="s">
        <v>2308</v>
      </c>
      <c r="B261" t="s">
        <v>2334</v>
      </c>
      <c r="C261" t="s">
        <v>2335</v>
      </c>
      <c r="D261" t="s">
        <v>1803</v>
      </c>
      <c r="E261" t="s">
        <v>2262</v>
      </c>
      <c r="F261" t="s">
        <v>2263</v>
      </c>
    </row>
    <row r="262" spans="1:6">
      <c r="A262" t="s">
        <v>2308</v>
      </c>
      <c r="B262" t="s">
        <v>2336</v>
      </c>
    </row>
    <row r="263" spans="1:6">
      <c r="A263" t="s">
        <v>2308</v>
      </c>
      <c r="B263" t="s">
        <v>2336</v>
      </c>
    </row>
    <row r="264" spans="1:6">
      <c r="A264" t="s">
        <v>2308</v>
      </c>
      <c r="B264" t="s">
        <v>2336</v>
      </c>
    </row>
    <row r="265" spans="1:6">
      <c r="A265" t="s">
        <v>2308</v>
      </c>
      <c r="B265" t="s">
        <v>2336</v>
      </c>
    </row>
    <row r="266" spans="1:6">
      <c r="A266" t="s">
        <v>2338</v>
      </c>
      <c r="B266" t="s">
        <v>2340</v>
      </c>
      <c r="C266" t="s">
        <v>2342</v>
      </c>
      <c r="D266" t="s">
        <v>1787</v>
      </c>
      <c r="E266" t="s">
        <v>1792</v>
      </c>
      <c r="F266" t="s">
        <v>2153</v>
      </c>
    </row>
    <row r="267" spans="1:6">
      <c r="A267" t="s">
        <v>2338</v>
      </c>
      <c r="B267" t="s">
        <v>2343</v>
      </c>
      <c r="C267" t="s">
        <v>2345</v>
      </c>
      <c r="D267" t="s">
        <v>1787</v>
      </c>
      <c r="E267" t="s">
        <v>2158</v>
      </c>
      <c r="F267" t="s">
        <v>1800</v>
      </c>
    </row>
    <row r="268" spans="1:6">
      <c r="A268" t="s">
        <v>2338</v>
      </c>
      <c r="B268" t="s">
        <v>2346</v>
      </c>
      <c r="C268" t="s">
        <v>2348</v>
      </c>
      <c r="D268" t="s">
        <v>1787</v>
      </c>
      <c r="E268" t="s">
        <v>1788</v>
      </c>
      <c r="F268" t="s">
        <v>1796</v>
      </c>
    </row>
    <row r="269" spans="1:6">
      <c r="A269" t="s">
        <v>2338</v>
      </c>
      <c r="B269" t="s">
        <v>2349</v>
      </c>
      <c r="C269" t="s">
        <v>2351</v>
      </c>
      <c r="D269" t="s">
        <v>1787</v>
      </c>
      <c r="E269" t="s">
        <v>1789</v>
      </c>
      <c r="F269" t="s">
        <v>1799</v>
      </c>
    </row>
    <row r="270" spans="1:6">
      <c r="A270" t="s">
        <v>2338</v>
      </c>
      <c r="B270" t="s">
        <v>2352</v>
      </c>
      <c r="C270" t="s">
        <v>2354</v>
      </c>
      <c r="D270" t="s">
        <v>1787</v>
      </c>
      <c r="E270" t="s">
        <v>1792</v>
      </c>
      <c r="F270" t="s">
        <v>2153</v>
      </c>
    </row>
    <row r="271" spans="1:6">
      <c r="A271" t="s">
        <v>2338</v>
      </c>
      <c r="B271" t="s">
        <v>2355</v>
      </c>
      <c r="C271" t="s">
        <v>2357</v>
      </c>
      <c r="D271" t="s">
        <v>1787</v>
      </c>
      <c r="E271" t="s">
        <v>1788</v>
      </c>
      <c r="F271" t="s">
        <v>1789</v>
      </c>
    </row>
    <row r="272" spans="1:6">
      <c r="A272" t="s">
        <v>2338</v>
      </c>
      <c r="B272" t="s">
        <v>2358</v>
      </c>
      <c r="C272" t="s">
        <v>2360</v>
      </c>
      <c r="D272" t="s">
        <v>1803</v>
      </c>
      <c r="E272" t="s">
        <v>1788</v>
      </c>
      <c r="F272" t="s">
        <v>1789</v>
      </c>
    </row>
    <row r="273" spans="1:6">
      <c r="A273" t="s">
        <v>2338</v>
      </c>
      <c r="B273" t="s">
        <v>2361</v>
      </c>
      <c r="C273" t="s">
        <v>2363</v>
      </c>
      <c r="D273" t="s">
        <v>1803</v>
      </c>
      <c r="E273" t="s">
        <v>2158</v>
      </c>
      <c r="F273" t="s">
        <v>1800</v>
      </c>
    </row>
    <row r="274" spans="1:6">
      <c r="A274" t="s">
        <v>2338</v>
      </c>
      <c r="B274" t="s">
        <v>2366</v>
      </c>
      <c r="C274" t="s">
        <v>2368</v>
      </c>
      <c r="D274" t="s">
        <v>1803</v>
      </c>
      <c r="E274" t="s">
        <v>1796</v>
      </c>
      <c r="F274" t="s">
        <v>1799</v>
      </c>
    </row>
    <row r="275" spans="1:6">
      <c r="A275" t="s">
        <v>2338</v>
      </c>
      <c r="B275" t="s">
        <v>2369</v>
      </c>
      <c r="C275" t="s">
        <v>2370</v>
      </c>
      <c r="D275" t="s">
        <v>1803</v>
      </c>
      <c r="E275" t="s">
        <v>1792</v>
      </c>
      <c r="F275" t="s">
        <v>2153</v>
      </c>
    </row>
    <row r="276" spans="1:6">
      <c r="A276" t="s">
        <v>2338</v>
      </c>
      <c r="B276" t="s">
        <v>2371</v>
      </c>
      <c r="C276" t="s">
        <v>2372</v>
      </c>
      <c r="D276" t="s">
        <v>1803</v>
      </c>
      <c r="E276" t="s">
        <v>1796</v>
      </c>
      <c r="F276" t="s">
        <v>1799</v>
      </c>
    </row>
    <row r="277" spans="1:6">
      <c r="A277" t="s">
        <v>2338</v>
      </c>
      <c r="B277" t="s">
        <v>2373</v>
      </c>
      <c r="C277" t="s">
        <v>2374</v>
      </c>
      <c r="D277" t="s">
        <v>1803</v>
      </c>
      <c r="E277" t="s">
        <v>2158</v>
      </c>
      <c r="F277" t="s">
        <v>1800</v>
      </c>
    </row>
    <row r="278" spans="1:6">
      <c r="A278" t="s">
        <v>2338</v>
      </c>
      <c r="B278" t="s">
        <v>2375</v>
      </c>
    </row>
    <row r="279" spans="1:6">
      <c r="A279" t="s">
        <v>2338</v>
      </c>
      <c r="B279" t="s">
        <v>2375</v>
      </c>
    </row>
    <row r="280" spans="1:6">
      <c r="A280" t="s">
        <v>2338</v>
      </c>
      <c r="B280" t="s">
        <v>2375</v>
      </c>
    </row>
    <row r="281" spans="1:6">
      <c r="A281" t="s">
        <v>2338</v>
      </c>
      <c r="B281" t="s">
        <v>2375</v>
      </c>
    </row>
    <row r="282" spans="1:6">
      <c r="A282" t="s">
        <v>2378</v>
      </c>
      <c r="B282" t="s">
        <v>2380</v>
      </c>
      <c r="C282" t="s">
        <v>2382</v>
      </c>
      <c r="D282" t="s">
        <v>1787</v>
      </c>
      <c r="E282" t="s">
        <v>1788</v>
      </c>
      <c r="F282" t="s">
        <v>1789</v>
      </c>
    </row>
    <row r="283" spans="1:6">
      <c r="A283" t="s">
        <v>2378</v>
      </c>
      <c r="B283" t="s">
        <v>2383</v>
      </c>
      <c r="C283" t="s">
        <v>2385</v>
      </c>
      <c r="D283" t="s">
        <v>1787</v>
      </c>
      <c r="E283" t="s">
        <v>1792</v>
      </c>
      <c r="F283" t="s">
        <v>2153</v>
      </c>
    </row>
    <row r="284" spans="1:6">
      <c r="A284" t="s">
        <v>2378</v>
      </c>
      <c r="B284" t="s">
        <v>2386</v>
      </c>
      <c r="C284" t="s">
        <v>2388</v>
      </c>
      <c r="D284" t="s">
        <v>1787</v>
      </c>
      <c r="E284" t="s">
        <v>1792</v>
      </c>
      <c r="F284" t="s">
        <v>2153</v>
      </c>
    </row>
    <row r="285" spans="1:6">
      <c r="A285" t="s">
        <v>2378</v>
      </c>
      <c r="B285" t="s">
        <v>2389</v>
      </c>
      <c r="C285" t="s">
        <v>2391</v>
      </c>
      <c r="D285" t="s">
        <v>1787</v>
      </c>
      <c r="E285" t="s">
        <v>2158</v>
      </c>
      <c r="F285" t="s">
        <v>1800</v>
      </c>
    </row>
    <row r="286" spans="1:6">
      <c r="A286" t="s">
        <v>2378</v>
      </c>
      <c r="B286" t="s">
        <v>2392</v>
      </c>
      <c r="C286" t="s">
        <v>2034</v>
      </c>
      <c r="D286" t="s">
        <v>1787</v>
      </c>
      <c r="E286" t="s">
        <v>1796</v>
      </c>
      <c r="F286" t="s">
        <v>1799</v>
      </c>
    </row>
    <row r="287" spans="1:6">
      <c r="A287" t="s">
        <v>2378</v>
      </c>
      <c r="B287" t="s">
        <v>2394</v>
      </c>
      <c r="C287" t="s">
        <v>2396</v>
      </c>
      <c r="D287" t="s">
        <v>1787</v>
      </c>
      <c r="E287" t="s">
        <v>1796</v>
      </c>
      <c r="F287" t="s">
        <v>1799</v>
      </c>
    </row>
    <row r="288" spans="1:6">
      <c r="A288" t="s">
        <v>2378</v>
      </c>
      <c r="B288" t="s">
        <v>2397</v>
      </c>
      <c r="C288" t="s">
        <v>2399</v>
      </c>
      <c r="D288" t="s">
        <v>1803</v>
      </c>
      <c r="E288" t="s">
        <v>2153</v>
      </c>
      <c r="F288" t="s">
        <v>2158</v>
      </c>
    </row>
    <row r="289" spans="1:6">
      <c r="A289" t="s">
        <v>2378</v>
      </c>
      <c r="B289" t="s">
        <v>2400</v>
      </c>
      <c r="C289" t="s">
        <v>2402</v>
      </c>
      <c r="D289" t="s">
        <v>1803</v>
      </c>
      <c r="E289" t="s">
        <v>1792</v>
      </c>
      <c r="F289" t="s">
        <v>1800</v>
      </c>
    </row>
    <row r="290" spans="1:6">
      <c r="A290" t="s">
        <v>2378</v>
      </c>
      <c r="B290" t="s">
        <v>2367</v>
      </c>
      <c r="C290" t="s">
        <v>2405</v>
      </c>
      <c r="D290" t="s">
        <v>1803</v>
      </c>
      <c r="E290" t="s">
        <v>1789</v>
      </c>
      <c r="F290" t="s">
        <v>2158</v>
      </c>
    </row>
    <row r="291" spans="1:6">
      <c r="A291" t="s">
        <v>2378</v>
      </c>
      <c r="B291" t="s">
        <v>2369</v>
      </c>
      <c r="C291" t="s">
        <v>2406</v>
      </c>
      <c r="D291" t="s">
        <v>1803</v>
      </c>
      <c r="E291" t="s">
        <v>1788</v>
      </c>
      <c r="F291" t="s">
        <v>1789</v>
      </c>
    </row>
    <row r="292" spans="1:6">
      <c r="A292" t="s">
        <v>2378</v>
      </c>
      <c r="B292" t="s">
        <v>2371</v>
      </c>
      <c r="C292" t="s">
        <v>2407</v>
      </c>
      <c r="D292" t="s">
        <v>1803</v>
      </c>
      <c r="E292" t="s">
        <v>1796</v>
      </c>
      <c r="F292" t="s">
        <v>1799</v>
      </c>
    </row>
    <row r="293" spans="1:6">
      <c r="A293" t="s">
        <v>2378</v>
      </c>
      <c r="B293" t="s">
        <v>2373</v>
      </c>
      <c r="C293" t="s">
        <v>2408</v>
      </c>
      <c r="D293" t="s">
        <v>1803</v>
      </c>
      <c r="E293" t="s">
        <v>1788</v>
      </c>
      <c r="F293" t="s">
        <v>1800</v>
      </c>
    </row>
    <row r="294" spans="1:6">
      <c r="A294" t="s">
        <v>2378</v>
      </c>
      <c r="B294" t="s">
        <v>2375</v>
      </c>
    </row>
    <row r="295" spans="1:6">
      <c r="A295" t="s">
        <v>2378</v>
      </c>
      <c r="B295" t="s">
        <v>2375</v>
      </c>
    </row>
    <row r="296" spans="1:6">
      <c r="A296" t="s">
        <v>2378</v>
      </c>
      <c r="B296" t="s">
        <v>2375</v>
      </c>
    </row>
    <row r="297" spans="1:6">
      <c r="A297" t="s">
        <v>2378</v>
      </c>
      <c r="B297" t="s">
        <v>2376</v>
      </c>
    </row>
    <row r="298" spans="1:6">
      <c r="A298" t="s">
        <v>2414</v>
      </c>
      <c r="B298">
        <v>3111</v>
      </c>
      <c r="C298" t="s">
        <v>2413</v>
      </c>
      <c r="D298" t="s">
        <v>1787</v>
      </c>
      <c r="E298" t="s">
        <v>1788</v>
      </c>
      <c r="F298" t="s">
        <v>1789</v>
      </c>
    </row>
    <row r="299" spans="1:6">
      <c r="A299" t="s">
        <v>2414</v>
      </c>
      <c r="B299">
        <v>3112</v>
      </c>
      <c r="C299" t="s">
        <v>2415</v>
      </c>
      <c r="D299" t="s">
        <v>1787</v>
      </c>
      <c r="E299" t="s">
        <v>2158</v>
      </c>
      <c r="F299" t="s">
        <v>2416</v>
      </c>
    </row>
    <row r="300" spans="1:6">
      <c r="A300" t="s">
        <v>2414</v>
      </c>
      <c r="B300">
        <v>3113</v>
      </c>
      <c r="C300" t="s">
        <v>2417</v>
      </c>
      <c r="D300" t="s">
        <v>1787</v>
      </c>
      <c r="E300" t="s">
        <v>1792</v>
      </c>
      <c r="F300" t="s">
        <v>2153</v>
      </c>
    </row>
    <row r="301" spans="1:6">
      <c r="A301" t="s">
        <v>2414</v>
      </c>
      <c r="B301">
        <v>3114</v>
      </c>
      <c r="C301" t="s">
        <v>2221</v>
      </c>
      <c r="D301" t="s">
        <v>1787</v>
      </c>
      <c r="E301" t="s">
        <v>1796</v>
      </c>
      <c r="F301" t="s">
        <v>1799</v>
      </c>
    </row>
    <row r="302" spans="1:6">
      <c r="A302" t="s">
        <v>2414</v>
      </c>
      <c r="B302">
        <v>3115</v>
      </c>
      <c r="C302" t="s">
        <v>2418</v>
      </c>
      <c r="D302" t="s">
        <v>1787</v>
      </c>
      <c r="E302" t="s">
        <v>1792</v>
      </c>
      <c r="F302" t="s">
        <v>2153</v>
      </c>
    </row>
    <row r="303" spans="1:6">
      <c r="A303" t="s">
        <v>2414</v>
      </c>
      <c r="B303">
        <v>3116</v>
      </c>
      <c r="C303" t="s">
        <v>2419</v>
      </c>
      <c r="D303" t="s">
        <v>1787</v>
      </c>
      <c r="E303" t="s">
        <v>1799</v>
      </c>
      <c r="F303" t="s">
        <v>2416</v>
      </c>
    </row>
    <row r="304" spans="1:6">
      <c r="A304" t="s">
        <v>2414</v>
      </c>
      <c r="B304">
        <v>3117</v>
      </c>
      <c r="C304" t="s">
        <v>2420</v>
      </c>
      <c r="D304" t="s">
        <v>1803</v>
      </c>
      <c r="E304" t="s">
        <v>1788</v>
      </c>
      <c r="F304" t="s">
        <v>1796</v>
      </c>
    </row>
    <row r="305" spans="1:6">
      <c r="A305" t="s">
        <v>2414</v>
      </c>
      <c r="B305">
        <v>3118</v>
      </c>
      <c r="C305" t="s">
        <v>2421</v>
      </c>
      <c r="D305" t="s">
        <v>1803</v>
      </c>
      <c r="E305" t="s">
        <v>1788</v>
      </c>
      <c r="F305" t="s">
        <v>1789</v>
      </c>
    </row>
    <row r="306" spans="1:6">
      <c r="A306" t="s">
        <v>2414</v>
      </c>
      <c r="B306">
        <v>3119</v>
      </c>
      <c r="C306" t="s">
        <v>2424</v>
      </c>
      <c r="D306" t="s">
        <v>1803</v>
      </c>
      <c r="E306" t="s">
        <v>2153</v>
      </c>
      <c r="F306" t="s">
        <v>2158</v>
      </c>
    </row>
    <row r="307" spans="1:6">
      <c r="A307" t="s">
        <v>2414</v>
      </c>
      <c r="B307" t="s">
        <v>2426</v>
      </c>
      <c r="C307" t="s">
        <v>2425</v>
      </c>
      <c r="D307" t="s">
        <v>1803</v>
      </c>
      <c r="E307" t="s">
        <v>1789</v>
      </c>
      <c r="F307" t="s">
        <v>2416</v>
      </c>
    </row>
    <row r="308" spans="1:6">
      <c r="A308" t="s">
        <v>2414</v>
      </c>
      <c r="B308" t="s">
        <v>2428</v>
      </c>
      <c r="C308" t="s">
        <v>2427</v>
      </c>
      <c r="D308" t="s">
        <v>1803</v>
      </c>
      <c r="E308" t="s">
        <v>1796</v>
      </c>
      <c r="F308" t="s">
        <v>2158</v>
      </c>
    </row>
    <row r="309" spans="1:6">
      <c r="A309" t="s">
        <v>2414</v>
      </c>
      <c r="B309" t="s">
        <v>2430</v>
      </c>
      <c r="C309" t="s">
        <v>2429</v>
      </c>
      <c r="D309" t="s">
        <v>1803</v>
      </c>
      <c r="E309" t="s">
        <v>2153</v>
      </c>
      <c r="F309" t="s">
        <v>1799</v>
      </c>
    </row>
    <row r="310" spans="1:6">
      <c r="A310" t="s">
        <v>2414</v>
      </c>
      <c r="B310">
        <v>311</v>
      </c>
    </row>
    <row r="311" spans="1:6">
      <c r="A311" t="s">
        <v>2414</v>
      </c>
      <c r="B311">
        <v>311</v>
      </c>
    </row>
    <row r="312" spans="1:6">
      <c r="A312" t="s">
        <v>2414</v>
      </c>
      <c r="B312">
        <v>311</v>
      </c>
    </row>
    <row r="313" spans="1:6">
      <c r="A313" t="s">
        <v>2414</v>
      </c>
      <c r="B313">
        <v>311</v>
      </c>
    </row>
    <row r="314" spans="1:6">
      <c r="A314" t="s">
        <v>2435</v>
      </c>
      <c r="B314">
        <v>3121</v>
      </c>
      <c r="C314" t="s">
        <v>2434</v>
      </c>
      <c r="D314" t="s">
        <v>1787</v>
      </c>
      <c r="E314" t="s">
        <v>1788</v>
      </c>
      <c r="F314" t="s">
        <v>1789</v>
      </c>
    </row>
    <row r="315" spans="1:6">
      <c r="A315" t="s">
        <v>2435</v>
      </c>
      <c r="B315">
        <v>3122</v>
      </c>
      <c r="C315" t="s">
        <v>2436</v>
      </c>
      <c r="D315" t="s">
        <v>1787</v>
      </c>
      <c r="E315" t="s">
        <v>1792</v>
      </c>
      <c r="F315" t="s">
        <v>1799</v>
      </c>
    </row>
    <row r="316" spans="1:6">
      <c r="A316" t="s">
        <v>2435</v>
      </c>
      <c r="B316">
        <v>3123</v>
      </c>
      <c r="C316" t="s">
        <v>2437</v>
      </c>
      <c r="D316" t="s">
        <v>1787</v>
      </c>
      <c r="E316" t="s">
        <v>2158</v>
      </c>
      <c r="F316" t="s">
        <v>2416</v>
      </c>
    </row>
    <row r="317" spans="1:6">
      <c r="A317" t="s">
        <v>2435</v>
      </c>
      <c r="B317">
        <v>3124</v>
      </c>
      <c r="C317" t="s">
        <v>2438</v>
      </c>
      <c r="D317" t="s">
        <v>1787</v>
      </c>
      <c r="E317" t="s">
        <v>2158</v>
      </c>
      <c r="F317" t="s">
        <v>2416</v>
      </c>
    </row>
    <row r="318" spans="1:6">
      <c r="A318" t="s">
        <v>2435</v>
      </c>
      <c r="B318">
        <v>3125</v>
      </c>
      <c r="C318" t="s">
        <v>2439</v>
      </c>
      <c r="D318" t="s">
        <v>1787</v>
      </c>
      <c r="E318" t="s">
        <v>2153</v>
      </c>
      <c r="F318" t="s">
        <v>1799</v>
      </c>
    </row>
    <row r="319" spans="1:6">
      <c r="A319" t="s">
        <v>2435</v>
      </c>
      <c r="B319">
        <v>3126</v>
      </c>
      <c r="C319" t="s">
        <v>2440</v>
      </c>
      <c r="D319" t="s">
        <v>1787</v>
      </c>
      <c r="E319" t="s">
        <v>1789</v>
      </c>
      <c r="F319" t="s">
        <v>1792</v>
      </c>
    </row>
    <row r="320" spans="1:6">
      <c r="A320" t="s">
        <v>2435</v>
      </c>
      <c r="B320">
        <v>3127</v>
      </c>
      <c r="C320" t="s">
        <v>2441</v>
      </c>
      <c r="D320" t="s">
        <v>1803</v>
      </c>
      <c r="E320" t="s">
        <v>2153</v>
      </c>
      <c r="F320" t="s">
        <v>1796</v>
      </c>
    </row>
    <row r="321" spans="1:6">
      <c r="A321" t="s">
        <v>2435</v>
      </c>
      <c r="B321">
        <v>3128</v>
      </c>
      <c r="C321" t="s">
        <v>2442</v>
      </c>
      <c r="D321" t="s">
        <v>1803</v>
      </c>
      <c r="E321" t="s">
        <v>1788</v>
      </c>
      <c r="F321" t="s">
        <v>1796</v>
      </c>
    </row>
    <row r="322" spans="1:6">
      <c r="A322" t="s">
        <v>2435</v>
      </c>
      <c r="B322" t="s">
        <v>2445</v>
      </c>
      <c r="C322" t="s">
        <v>2446</v>
      </c>
      <c r="D322" t="s">
        <v>1803</v>
      </c>
      <c r="E322" t="s">
        <v>2158</v>
      </c>
      <c r="F322" t="s">
        <v>2416</v>
      </c>
    </row>
    <row r="323" spans="1:6">
      <c r="A323" t="s">
        <v>2435</v>
      </c>
      <c r="B323" t="s">
        <v>2448</v>
      </c>
      <c r="C323" t="s">
        <v>2447</v>
      </c>
      <c r="D323" t="s">
        <v>1803</v>
      </c>
      <c r="E323" t="s">
        <v>1792</v>
      </c>
      <c r="F323" t="s">
        <v>2153</v>
      </c>
    </row>
    <row r="324" spans="1:6">
      <c r="A324" t="s">
        <v>2435</v>
      </c>
      <c r="B324" t="s">
        <v>2449</v>
      </c>
      <c r="C324" t="s">
        <v>2450</v>
      </c>
      <c r="D324" t="s">
        <v>1803</v>
      </c>
      <c r="E324" t="s">
        <v>1788</v>
      </c>
      <c r="F324" t="s">
        <v>1789</v>
      </c>
    </row>
    <row r="325" spans="1:6">
      <c r="A325" t="s">
        <v>2435</v>
      </c>
      <c r="B325" t="s">
        <v>2452</v>
      </c>
      <c r="C325" t="s">
        <v>2451</v>
      </c>
      <c r="D325" t="s">
        <v>1803</v>
      </c>
      <c r="E325" t="s">
        <v>1796</v>
      </c>
      <c r="F325" t="s">
        <v>1799</v>
      </c>
    </row>
    <row r="326" spans="1:6">
      <c r="A326" t="s">
        <v>2435</v>
      </c>
      <c r="B326">
        <v>312</v>
      </c>
    </row>
    <row r="327" spans="1:6">
      <c r="A327" t="s">
        <v>2435</v>
      </c>
      <c r="B327">
        <v>312</v>
      </c>
    </row>
    <row r="328" spans="1:6">
      <c r="A328" t="s">
        <v>2435</v>
      </c>
      <c r="B328">
        <v>312</v>
      </c>
    </row>
    <row r="329" spans="1:6">
      <c r="A329" t="s">
        <v>2435</v>
      </c>
      <c r="B329" t="s">
        <v>2453</v>
      </c>
    </row>
    <row r="330" spans="1:6">
      <c r="A330" t="s">
        <v>2455</v>
      </c>
      <c r="B330" t="s">
        <v>2457</v>
      </c>
      <c r="C330" t="s">
        <v>2458</v>
      </c>
      <c r="D330" t="s">
        <v>1787</v>
      </c>
      <c r="E330" t="s">
        <v>1788</v>
      </c>
      <c r="F330" t="s">
        <v>1789</v>
      </c>
    </row>
    <row r="331" spans="1:6">
      <c r="A331" t="s">
        <v>2455</v>
      </c>
      <c r="B331" t="s">
        <v>2459</v>
      </c>
      <c r="C331" t="s">
        <v>2460</v>
      </c>
      <c r="D331" t="s">
        <v>1787</v>
      </c>
      <c r="E331" t="s">
        <v>2153</v>
      </c>
      <c r="F331" t="s">
        <v>1796</v>
      </c>
    </row>
    <row r="332" spans="1:6">
      <c r="A332" t="s">
        <v>2455</v>
      </c>
      <c r="B332" t="s">
        <v>2461</v>
      </c>
      <c r="C332" t="s">
        <v>2462</v>
      </c>
      <c r="D332" t="s">
        <v>1787</v>
      </c>
      <c r="E332" t="s">
        <v>1799</v>
      </c>
      <c r="F332" t="s">
        <v>2416</v>
      </c>
    </row>
    <row r="333" spans="1:6">
      <c r="A333" t="s">
        <v>2455</v>
      </c>
      <c r="B333" t="s">
        <v>2463</v>
      </c>
      <c r="C333" t="s">
        <v>2464</v>
      </c>
      <c r="D333" t="s">
        <v>1787</v>
      </c>
      <c r="E333" t="s">
        <v>1789</v>
      </c>
      <c r="F333" t="s">
        <v>1792</v>
      </c>
    </row>
    <row r="334" spans="1:6">
      <c r="A334" t="s">
        <v>2455</v>
      </c>
      <c r="B334" t="s">
        <v>2465</v>
      </c>
      <c r="C334" t="s">
        <v>2466</v>
      </c>
      <c r="D334" t="s">
        <v>1787</v>
      </c>
      <c r="E334" t="s">
        <v>1792</v>
      </c>
      <c r="F334" t="s">
        <v>2153</v>
      </c>
    </row>
    <row r="335" spans="1:6">
      <c r="A335" t="s">
        <v>2455</v>
      </c>
      <c r="B335" t="s">
        <v>2467</v>
      </c>
      <c r="C335" t="s">
        <v>2468</v>
      </c>
      <c r="D335" t="s">
        <v>1787</v>
      </c>
      <c r="E335" t="s">
        <v>2158</v>
      </c>
      <c r="F335" t="s">
        <v>2416</v>
      </c>
    </row>
    <row r="336" spans="1:6">
      <c r="A336" t="s">
        <v>2455</v>
      </c>
      <c r="B336" t="s">
        <v>2469</v>
      </c>
      <c r="C336" t="s">
        <v>2470</v>
      </c>
      <c r="D336" t="s">
        <v>1803</v>
      </c>
      <c r="E336" t="s">
        <v>1789</v>
      </c>
      <c r="F336" t="s">
        <v>2158</v>
      </c>
    </row>
    <row r="337" spans="1:6">
      <c r="A337" t="s">
        <v>2455</v>
      </c>
      <c r="B337" t="s">
        <v>2471</v>
      </c>
      <c r="C337" t="s">
        <v>2472</v>
      </c>
      <c r="D337" t="s">
        <v>1803</v>
      </c>
      <c r="E337" t="s">
        <v>1792</v>
      </c>
      <c r="F337" t="s">
        <v>2153</v>
      </c>
    </row>
    <row r="338" spans="1:6">
      <c r="A338" t="s">
        <v>2455</v>
      </c>
      <c r="B338" t="s">
        <v>2475</v>
      </c>
      <c r="C338" t="s">
        <v>2476</v>
      </c>
      <c r="D338" t="s">
        <v>1803</v>
      </c>
      <c r="E338" t="s">
        <v>1799</v>
      </c>
      <c r="F338" t="s">
        <v>2416</v>
      </c>
    </row>
    <row r="339" spans="1:6">
      <c r="A339" t="s">
        <v>2455</v>
      </c>
      <c r="B339" t="s">
        <v>2477</v>
      </c>
      <c r="C339" t="s">
        <v>2478</v>
      </c>
      <c r="D339" t="s">
        <v>1803</v>
      </c>
      <c r="E339" t="s">
        <v>1788</v>
      </c>
      <c r="F339" t="s">
        <v>2158</v>
      </c>
    </row>
    <row r="340" spans="1:6">
      <c r="A340" t="s">
        <v>2455</v>
      </c>
      <c r="B340" t="s">
        <v>2479</v>
      </c>
      <c r="C340" t="s">
        <v>2480</v>
      </c>
      <c r="D340" t="s">
        <v>1803</v>
      </c>
      <c r="E340" t="s">
        <v>1796</v>
      </c>
      <c r="F340" t="s">
        <v>1799</v>
      </c>
    </row>
    <row r="341" spans="1:6">
      <c r="A341" t="s">
        <v>2455</v>
      </c>
      <c r="B341" t="s">
        <v>2481</v>
      </c>
      <c r="C341" t="s">
        <v>2482</v>
      </c>
      <c r="D341" t="s">
        <v>1803</v>
      </c>
      <c r="E341" t="s">
        <v>1788</v>
      </c>
      <c r="F341" t="s">
        <v>1796</v>
      </c>
    </row>
    <row r="342" spans="1:6">
      <c r="A342" t="s">
        <v>2455</v>
      </c>
      <c r="B342" t="s">
        <v>2483</v>
      </c>
    </row>
    <row r="343" spans="1:6">
      <c r="A343" t="s">
        <v>2455</v>
      </c>
      <c r="B343" t="s">
        <v>2483</v>
      </c>
    </row>
    <row r="344" spans="1:6">
      <c r="A344" t="s">
        <v>2455</v>
      </c>
      <c r="B344" t="s">
        <v>2483</v>
      </c>
    </row>
    <row r="345" spans="1:6">
      <c r="A345" t="s">
        <v>2455</v>
      </c>
      <c r="B345" t="s">
        <v>2483</v>
      </c>
    </row>
    <row r="346" spans="1:6">
      <c r="A346" t="s">
        <v>2485</v>
      </c>
      <c r="B346" t="s">
        <v>2487</v>
      </c>
      <c r="C346" t="s">
        <v>2489</v>
      </c>
      <c r="D346" t="s">
        <v>595</v>
      </c>
      <c r="E346" t="s">
        <v>466</v>
      </c>
      <c r="F346" t="s">
        <v>468</v>
      </c>
    </row>
    <row r="347" spans="1:6">
      <c r="A347" t="s">
        <v>2485</v>
      </c>
      <c r="B347" t="s">
        <v>2491</v>
      </c>
      <c r="C347" t="s">
        <v>2493</v>
      </c>
      <c r="D347" t="s">
        <v>595</v>
      </c>
      <c r="E347" t="s">
        <v>463</v>
      </c>
      <c r="F347" t="s">
        <v>467</v>
      </c>
    </row>
    <row r="348" spans="1:6">
      <c r="A348" t="s">
        <v>2485</v>
      </c>
      <c r="B348" t="s">
        <v>2495</v>
      </c>
      <c r="C348" t="s">
        <v>2497</v>
      </c>
      <c r="D348" t="s">
        <v>595</v>
      </c>
      <c r="E348" t="s">
        <v>441</v>
      </c>
      <c r="F348" t="s">
        <v>466</v>
      </c>
    </row>
    <row r="349" spans="1:6">
      <c r="A349" t="s">
        <v>2485</v>
      </c>
      <c r="B349" t="s">
        <v>2499</v>
      </c>
      <c r="C349" t="s">
        <v>2501</v>
      </c>
      <c r="D349" t="s">
        <v>595</v>
      </c>
      <c r="E349" t="s">
        <v>461</v>
      </c>
    </row>
    <row r="350" spans="1:6">
      <c r="A350" t="s">
        <v>2485</v>
      </c>
      <c r="B350" t="s">
        <v>2503</v>
      </c>
      <c r="C350" t="s">
        <v>2505</v>
      </c>
      <c r="D350" t="s">
        <v>595</v>
      </c>
      <c r="E350" t="s">
        <v>462</v>
      </c>
    </row>
    <row r="351" spans="1:6">
      <c r="A351" t="s">
        <v>2485</v>
      </c>
      <c r="B351" t="s">
        <v>2507</v>
      </c>
      <c r="C351" t="s">
        <v>2509</v>
      </c>
      <c r="D351" t="s">
        <v>595</v>
      </c>
      <c r="E351" t="s">
        <v>467</v>
      </c>
      <c r="F351" t="s">
        <v>468</v>
      </c>
    </row>
    <row r="352" spans="1:6">
      <c r="A352" t="s">
        <v>2485</v>
      </c>
      <c r="B352" t="s">
        <v>2511</v>
      </c>
      <c r="C352" t="s">
        <v>2513</v>
      </c>
      <c r="D352" t="s">
        <v>596</v>
      </c>
      <c r="E352" t="s">
        <v>461</v>
      </c>
      <c r="F352" t="s">
        <v>462</v>
      </c>
    </row>
    <row r="353" spans="1:6">
      <c r="A353" t="s">
        <v>2485</v>
      </c>
      <c r="B353" t="s">
        <v>2515</v>
      </c>
      <c r="C353" t="s">
        <v>2517</v>
      </c>
      <c r="D353" t="s">
        <v>596</v>
      </c>
      <c r="E353" t="s">
        <v>462</v>
      </c>
      <c r="F353" t="s">
        <v>470</v>
      </c>
    </row>
    <row r="354" spans="1:6">
      <c r="A354" t="s">
        <v>2485</v>
      </c>
      <c r="B354" t="s">
        <v>2521</v>
      </c>
      <c r="C354" t="s">
        <v>2523</v>
      </c>
      <c r="D354" t="s">
        <v>596</v>
      </c>
      <c r="E354" t="s">
        <v>470</v>
      </c>
    </row>
    <row r="355" spans="1:6">
      <c r="A355" t="s">
        <v>2485</v>
      </c>
      <c r="B355" t="s">
        <v>2525</v>
      </c>
      <c r="C355" t="s">
        <v>686</v>
      </c>
      <c r="D355" t="s">
        <v>596</v>
      </c>
      <c r="E355" t="s">
        <v>463</v>
      </c>
      <c r="F355" t="s">
        <v>466</v>
      </c>
    </row>
    <row r="356" spans="1:6">
      <c r="A356" t="s">
        <v>2485</v>
      </c>
      <c r="B356" t="s">
        <v>683</v>
      </c>
      <c r="C356" t="s">
        <v>2529</v>
      </c>
      <c r="D356" t="s">
        <v>596</v>
      </c>
      <c r="E356" t="s">
        <v>461</v>
      </c>
      <c r="F356" t="s">
        <v>467</v>
      </c>
    </row>
    <row r="357" spans="1:6">
      <c r="A357" t="s">
        <v>2485</v>
      </c>
      <c r="B357" t="s">
        <v>684</v>
      </c>
      <c r="C357" t="s">
        <v>2532</v>
      </c>
      <c r="D357" t="s">
        <v>596</v>
      </c>
      <c r="E357" t="s">
        <v>463</v>
      </c>
      <c r="F357" t="s">
        <v>441</v>
      </c>
    </row>
    <row r="358" spans="1:6">
      <c r="A358" t="s">
        <v>2485</v>
      </c>
      <c r="B358" t="s">
        <v>2534</v>
      </c>
    </row>
    <row r="359" spans="1:6">
      <c r="A359" t="s">
        <v>2485</v>
      </c>
      <c r="B359" t="s">
        <v>2534</v>
      </c>
    </row>
    <row r="360" spans="1:6">
      <c r="A360" t="s">
        <v>2485</v>
      </c>
      <c r="B360" t="s">
        <v>2534</v>
      </c>
    </row>
    <row r="361" spans="1:6">
      <c r="A361" t="s">
        <v>2485</v>
      </c>
      <c r="B361" t="s">
        <v>2534</v>
      </c>
    </row>
    <row r="362" spans="1:6">
      <c r="A362" t="s">
        <v>2537</v>
      </c>
      <c r="B362" t="s">
        <v>2539</v>
      </c>
      <c r="C362" t="s">
        <v>2541</v>
      </c>
      <c r="D362" t="s">
        <v>595</v>
      </c>
      <c r="E362" t="s">
        <v>441</v>
      </c>
      <c r="F362" t="s">
        <v>470</v>
      </c>
    </row>
    <row r="363" spans="1:6">
      <c r="A363" t="s">
        <v>2537</v>
      </c>
      <c r="B363" t="s">
        <v>2543</v>
      </c>
      <c r="C363" t="s">
        <v>2545</v>
      </c>
      <c r="D363" t="s">
        <v>595</v>
      </c>
      <c r="E363" t="s">
        <v>462</v>
      </c>
      <c r="F363" t="s">
        <v>441</v>
      </c>
    </row>
    <row r="364" spans="1:6">
      <c r="A364" t="s">
        <v>2537</v>
      </c>
      <c r="B364" t="s">
        <v>2547</v>
      </c>
      <c r="C364" t="s">
        <v>2549</v>
      </c>
      <c r="D364" t="s">
        <v>595</v>
      </c>
      <c r="E364" t="s">
        <v>461</v>
      </c>
      <c r="F364" t="s">
        <v>470</v>
      </c>
    </row>
    <row r="365" spans="1:6">
      <c r="A365" t="s">
        <v>2537</v>
      </c>
      <c r="B365" t="s">
        <v>2551</v>
      </c>
      <c r="C365" t="s">
        <v>2553</v>
      </c>
      <c r="D365" t="s">
        <v>595</v>
      </c>
      <c r="E365" t="s">
        <v>467</v>
      </c>
      <c r="F365" t="s">
        <v>468</v>
      </c>
    </row>
    <row r="366" spans="1:6">
      <c r="A366" t="s">
        <v>2537</v>
      </c>
      <c r="B366" t="s">
        <v>2555</v>
      </c>
      <c r="C366" t="s">
        <v>2557</v>
      </c>
      <c r="D366" t="s">
        <v>595</v>
      </c>
      <c r="E366" t="s">
        <v>466</v>
      </c>
    </row>
    <row r="367" spans="1:6">
      <c r="A367" t="s">
        <v>2537</v>
      </c>
      <c r="B367" t="s">
        <v>2559</v>
      </c>
      <c r="C367" t="s">
        <v>2561</v>
      </c>
      <c r="D367" t="s">
        <v>595</v>
      </c>
      <c r="E367" t="s">
        <v>463</v>
      </c>
    </row>
    <row r="368" spans="1:6">
      <c r="A368" t="s">
        <v>2537</v>
      </c>
      <c r="B368" t="s">
        <v>2563</v>
      </c>
      <c r="C368" t="s">
        <v>2565</v>
      </c>
      <c r="D368" t="s">
        <v>596</v>
      </c>
      <c r="E368" t="s">
        <v>466</v>
      </c>
      <c r="F368" t="s">
        <v>468</v>
      </c>
    </row>
    <row r="369" spans="1:6">
      <c r="A369" t="s">
        <v>2537</v>
      </c>
      <c r="B369" t="s">
        <v>2567</v>
      </c>
      <c r="C369" t="s">
        <v>2569</v>
      </c>
      <c r="D369" t="s">
        <v>596</v>
      </c>
      <c r="E369" t="s">
        <v>462</v>
      </c>
      <c r="F369" t="s">
        <v>467</v>
      </c>
    </row>
    <row r="370" spans="1:6">
      <c r="A370" t="s">
        <v>2537</v>
      </c>
      <c r="B370" t="s">
        <v>2573</v>
      </c>
      <c r="C370" t="s">
        <v>2575</v>
      </c>
      <c r="D370" t="s">
        <v>596</v>
      </c>
      <c r="E370" t="s">
        <v>463</v>
      </c>
      <c r="F370" t="s">
        <v>441</v>
      </c>
    </row>
    <row r="371" spans="1:6">
      <c r="A371" t="s">
        <v>2537</v>
      </c>
      <c r="B371" t="s">
        <v>397</v>
      </c>
      <c r="C371" t="s">
        <v>2578</v>
      </c>
      <c r="D371" t="s">
        <v>596</v>
      </c>
      <c r="E371" t="s">
        <v>462</v>
      </c>
      <c r="F371" t="s">
        <v>467</v>
      </c>
    </row>
    <row r="372" spans="1:6">
      <c r="A372" t="s">
        <v>2537</v>
      </c>
      <c r="B372" t="s">
        <v>685</v>
      </c>
      <c r="C372" t="s">
        <v>2581</v>
      </c>
      <c r="D372" t="s">
        <v>596</v>
      </c>
      <c r="E372" t="s">
        <v>461</v>
      </c>
      <c r="F372" t="s">
        <v>468</v>
      </c>
    </row>
    <row r="373" spans="1:6">
      <c r="A373" t="s">
        <v>2537</v>
      </c>
      <c r="B373" t="s">
        <v>519</v>
      </c>
      <c r="C373" t="s">
        <v>2584</v>
      </c>
      <c r="D373" t="s">
        <v>596</v>
      </c>
      <c r="E373" t="s">
        <v>461</v>
      </c>
      <c r="F373" t="s">
        <v>463</v>
      </c>
    </row>
    <row r="374" spans="1:6">
      <c r="A374" t="s">
        <v>2537</v>
      </c>
      <c r="B374" t="s">
        <v>2586</v>
      </c>
    </row>
    <row r="375" spans="1:6">
      <c r="A375" t="s">
        <v>2537</v>
      </c>
      <c r="B375" t="s">
        <v>2586</v>
      </c>
    </row>
    <row r="376" spans="1:6">
      <c r="A376" t="s">
        <v>2537</v>
      </c>
      <c r="B376" t="s">
        <v>2586</v>
      </c>
    </row>
    <row r="377" spans="1:6">
      <c r="A377" t="s">
        <v>2537</v>
      </c>
      <c r="B377" t="s">
        <v>2586</v>
      </c>
    </row>
  </sheetData>
  <phoneticPr fontId="9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2:X67"/>
  <sheetViews>
    <sheetView topLeftCell="A10" workbookViewId="0">
      <selection activeCell="I18" sqref="I18"/>
    </sheetView>
  </sheetViews>
  <sheetFormatPr defaultRowHeight="14.25"/>
  <cols>
    <col min="1" max="1" width="6.625" style="14" customWidth="1"/>
    <col min="2" max="2" width="9" style="14"/>
    <col min="3" max="3" width="5.875" style="14" customWidth="1"/>
    <col min="4" max="4" width="4.875" style="14" customWidth="1"/>
    <col min="5" max="11" width="21.25" style="14" customWidth="1"/>
    <col min="12" max="12" width="15.875" style="14" customWidth="1"/>
    <col min="13" max="16384" width="9" style="14"/>
  </cols>
  <sheetData>
    <row r="2" spans="1:23">
      <c r="A2" s="14" t="s">
        <v>1394</v>
      </c>
      <c r="B2" s="14" t="s">
        <v>1395</v>
      </c>
      <c r="C2" s="14" t="s">
        <v>1396</v>
      </c>
      <c r="D2" s="14">
        <v>1</v>
      </c>
      <c r="E2" s="175" t="s">
        <v>1398</v>
      </c>
      <c r="F2" s="14" t="s">
        <v>1401</v>
      </c>
      <c r="G2" s="14" t="s">
        <v>1404</v>
      </c>
      <c r="H2" s="14" t="s">
        <v>1407</v>
      </c>
      <c r="I2" s="14" t="s">
        <v>1410</v>
      </c>
      <c r="J2" s="14" t="s">
        <v>1413</v>
      </c>
      <c r="K2" s="297" t="s">
        <v>1416</v>
      </c>
    </row>
    <row r="3" spans="1:23">
      <c r="A3" s="14" t="s">
        <v>1397</v>
      </c>
      <c r="B3" s="14" t="s">
        <v>1395</v>
      </c>
      <c r="C3" s="14" t="s">
        <v>1396</v>
      </c>
      <c r="D3" s="14">
        <v>2</v>
      </c>
      <c r="E3" s="175" t="s">
        <v>1399</v>
      </c>
      <c r="F3" s="14" t="s">
        <v>1402</v>
      </c>
      <c r="G3" s="14" t="s">
        <v>1405</v>
      </c>
      <c r="H3" s="14" t="s">
        <v>1408</v>
      </c>
      <c r="I3" s="14" t="s">
        <v>1411</v>
      </c>
      <c r="J3" s="14" t="s">
        <v>1414</v>
      </c>
    </row>
    <row r="4" spans="1:23">
      <c r="A4" s="14" t="s">
        <v>1397</v>
      </c>
      <c r="B4" s="14" t="s">
        <v>1395</v>
      </c>
      <c r="C4" s="14" t="s">
        <v>1396</v>
      </c>
      <c r="D4" s="14">
        <v>3</v>
      </c>
      <c r="E4" s="14" t="s">
        <v>1400</v>
      </c>
      <c r="F4" s="14" t="s">
        <v>1403</v>
      </c>
      <c r="G4" s="14" t="s">
        <v>1406</v>
      </c>
      <c r="H4" s="14" t="s">
        <v>1409</v>
      </c>
      <c r="I4" s="14" t="s">
        <v>1412</v>
      </c>
      <c r="J4" s="14" t="s">
        <v>1415</v>
      </c>
    </row>
    <row r="5" spans="1:23">
      <c r="A5" s="14" t="s">
        <v>1397</v>
      </c>
      <c r="B5" s="14" t="s">
        <v>1395</v>
      </c>
      <c r="C5" s="14" t="s">
        <v>1417</v>
      </c>
      <c r="D5" s="14">
        <v>1</v>
      </c>
      <c r="E5" s="14" t="s">
        <v>1398</v>
      </c>
      <c r="F5" s="14" t="s">
        <v>1401</v>
      </c>
      <c r="G5" s="14" t="s">
        <v>1404</v>
      </c>
      <c r="H5" s="14" t="s">
        <v>1420</v>
      </c>
      <c r="I5" s="14" t="s">
        <v>1412</v>
      </c>
      <c r="J5" s="14" t="s">
        <v>1415</v>
      </c>
    </row>
    <row r="6" spans="1:23">
      <c r="A6" s="14" t="s">
        <v>1397</v>
      </c>
      <c r="B6" s="14" t="s">
        <v>1395</v>
      </c>
      <c r="C6" s="14" t="s">
        <v>1417</v>
      </c>
      <c r="D6" s="14">
        <v>2</v>
      </c>
      <c r="E6" s="175" t="s">
        <v>1399</v>
      </c>
      <c r="F6" s="14" t="s">
        <v>1418</v>
      </c>
      <c r="G6" s="14" t="s">
        <v>1405</v>
      </c>
      <c r="H6" s="14" t="s">
        <v>1408</v>
      </c>
      <c r="I6" s="14" t="s">
        <v>1413</v>
      </c>
      <c r="J6" s="14" t="s">
        <v>1422</v>
      </c>
    </row>
    <row r="7" spans="1:23">
      <c r="A7" s="14" t="s">
        <v>1397</v>
      </c>
      <c r="B7" s="14" t="s">
        <v>1395</v>
      </c>
      <c r="C7" s="14" t="s">
        <v>1417</v>
      </c>
      <c r="D7" s="14">
        <v>3</v>
      </c>
      <c r="E7" s="14" t="s">
        <v>1400</v>
      </c>
      <c r="F7" s="14" t="s">
        <v>1403</v>
      </c>
      <c r="G7" s="14" t="s">
        <v>1419</v>
      </c>
      <c r="H7" s="14" t="s">
        <v>1409</v>
      </c>
      <c r="I7" s="14" t="s">
        <v>1421</v>
      </c>
    </row>
    <row r="8" spans="1:23">
      <c r="A8" s="14" t="s">
        <v>1397</v>
      </c>
      <c r="B8" s="14" t="s">
        <v>1395</v>
      </c>
      <c r="C8" s="14" t="s">
        <v>1423</v>
      </c>
      <c r="D8" s="14">
        <v>1</v>
      </c>
      <c r="E8" s="14" t="s">
        <v>1424</v>
      </c>
      <c r="F8" s="14" t="s">
        <v>1427</v>
      </c>
      <c r="G8" s="14" t="s">
        <v>1430</v>
      </c>
      <c r="H8" s="14" t="s">
        <v>1432</v>
      </c>
      <c r="I8" s="14" t="s">
        <v>1435</v>
      </c>
      <c r="J8" s="14" t="s">
        <v>1437</v>
      </c>
      <c r="K8" s="14" t="s">
        <v>1440</v>
      </c>
    </row>
    <row r="9" spans="1:23">
      <c r="A9" s="14" t="s">
        <v>1397</v>
      </c>
      <c r="B9" s="14" t="s">
        <v>1395</v>
      </c>
      <c r="C9" s="14" t="s">
        <v>1423</v>
      </c>
      <c r="D9" s="14">
        <v>2</v>
      </c>
      <c r="E9" s="14" t="s">
        <v>1425</v>
      </c>
      <c r="F9" s="14" t="s">
        <v>1428</v>
      </c>
      <c r="G9" s="14" t="s">
        <v>1431</v>
      </c>
      <c r="H9" s="14" t="s">
        <v>1433</v>
      </c>
      <c r="I9" s="14" t="s">
        <v>1436</v>
      </c>
      <c r="J9" s="14" t="s">
        <v>1438</v>
      </c>
      <c r="K9" s="14" t="s">
        <v>1422</v>
      </c>
    </row>
    <row r="10" spans="1:23">
      <c r="A10" s="14" t="s">
        <v>1397</v>
      </c>
      <c r="B10" s="14" t="s">
        <v>1395</v>
      </c>
      <c r="C10" s="14" t="s">
        <v>1423</v>
      </c>
      <c r="D10" s="14">
        <v>3</v>
      </c>
      <c r="E10" s="14" t="s">
        <v>1426</v>
      </c>
      <c r="F10" s="14" t="s">
        <v>1429</v>
      </c>
      <c r="G10" s="14" t="s">
        <v>1419</v>
      </c>
      <c r="H10" s="14" t="s">
        <v>1434</v>
      </c>
      <c r="I10" s="14" t="s">
        <v>1410</v>
      </c>
      <c r="J10" s="14" t="s">
        <v>1439</v>
      </c>
    </row>
    <row r="11" spans="1:23">
      <c r="A11" s="14" t="s">
        <v>1397</v>
      </c>
      <c r="B11" s="14" t="s">
        <v>1395</v>
      </c>
      <c r="C11" s="14" t="s">
        <v>1441</v>
      </c>
      <c r="D11" s="14">
        <v>1</v>
      </c>
      <c r="E11" s="14" t="s">
        <v>1424</v>
      </c>
      <c r="F11" s="14" t="s">
        <v>1426</v>
      </c>
      <c r="G11" s="14" t="s">
        <v>1427</v>
      </c>
      <c r="H11" s="14" t="s">
        <v>1428</v>
      </c>
      <c r="I11" s="14" t="s">
        <v>1429</v>
      </c>
      <c r="J11" s="14" t="s">
        <v>1431</v>
      </c>
      <c r="K11" s="14" t="s">
        <v>1442</v>
      </c>
      <c r="L11" s="14" t="s">
        <v>1443</v>
      </c>
      <c r="M11" s="14" t="s">
        <v>1433</v>
      </c>
      <c r="N11" s="14" t="s">
        <v>1434</v>
      </c>
      <c r="O11" s="14" t="s">
        <v>1411</v>
      </c>
      <c r="P11" s="14" t="s">
        <v>1437</v>
      </c>
      <c r="Q11" s="14" t="s">
        <v>1438</v>
      </c>
      <c r="R11" s="14" t="s">
        <v>1439</v>
      </c>
      <c r="S11" s="14" t="s">
        <v>1440</v>
      </c>
      <c r="T11" s="14" t="s">
        <v>1416</v>
      </c>
    </row>
    <row r="12" spans="1:23">
      <c r="A12" s="14" t="s">
        <v>1397</v>
      </c>
      <c r="B12" s="14" t="s">
        <v>1395</v>
      </c>
      <c r="C12" s="14" t="s">
        <v>1444</v>
      </c>
      <c r="D12" s="14">
        <v>1</v>
      </c>
      <c r="E12" s="14" t="s">
        <v>1445</v>
      </c>
      <c r="F12" s="14" t="s">
        <v>1446</v>
      </c>
      <c r="G12" s="14" t="s">
        <v>1447</v>
      </c>
      <c r="H12" s="14" t="s">
        <v>1448</v>
      </c>
      <c r="I12" s="14" t="s">
        <v>1449</v>
      </c>
      <c r="J12" s="14" t="s">
        <v>1450</v>
      </c>
      <c r="K12" s="14" t="s">
        <v>1451</v>
      </c>
      <c r="L12" s="14" t="s">
        <v>1452</v>
      </c>
      <c r="M12" s="14" t="s">
        <v>1453</v>
      </c>
      <c r="N12" s="14" t="s">
        <v>1454</v>
      </c>
      <c r="O12" s="14" t="s">
        <v>1455</v>
      </c>
      <c r="P12" s="14" t="s">
        <v>1456</v>
      </c>
      <c r="Q12" s="14" t="s">
        <v>1457</v>
      </c>
      <c r="R12" s="14" t="s">
        <v>1414</v>
      </c>
      <c r="S12" s="14" t="s">
        <v>1458</v>
      </c>
      <c r="T12" s="14" t="s">
        <v>1459</v>
      </c>
    </row>
    <row r="13" spans="1:23">
      <c r="A13" s="14" t="s">
        <v>1397</v>
      </c>
      <c r="B13" s="14" t="s">
        <v>1395</v>
      </c>
      <c r="C13" s="14" t="s">
        <v>1460</v>
      </c>
      <c r="D13" s="14">
        <v>1</v>
      </c>
      <c r="E13" s="14" t="s">
        <v>1445</v>
      </c>
      <c r="F13" s="14" t="s">
        <v>1446</v>
      </c>
      <c r="G13" s="14" t="s">
        <v>1425</v>
      </c>
      <c r="H13" s="14" t="s">
        <v>1447</v>
      </c>
      <c r="I13" s="14" t="s">
        <v>1448</v>
      </c>
      <c r="J13" s="14" t="s">
        <v>1449</v>
      </c>
      <c r="K13" s="14" t="s">
        <v>1450</v>
      </c>
      <c r="L13" s="14" t="s">
        <v>1451</v>
      </c>
      <c r="M13" s="14" t="s">
        <v>1430</v>
      </c>
      <c r="N13" s="14" t="s">
        <v>1443</v>
      </c>
      <c r="O13" s="14" t="s">
        <v>1453</v>
      </c>
      <c r="P13" s="14" t="s">
        <v>1454</v>
      </c>
      <c r="Q13" s="14" t="s">
        <v>1435</v>
      </c>
      <c r="R13" s="14" t="s">
        <v>1461</v>
      </c>
      <c r="S13" s="14" t="s">
        <v>1462</v>
      </c>
      <c r="T13" s="14" t="s">
        <v>1457</v>
      </c>
      <c r="U13" s="14" t="s">
        <v>1463</v>
      </c>
      <c r="V13" s="14" t="s">
        <v>1458</v>
      </c>
      <c r="W13" s="14" t="s">
        <v>1459</v>
      </c>
    </row>
    <row r="14" spans="1:23">
      <c r="A14" s="14" t="s">
        <v>1397</v>
      </c>
      <c r="B14" s="14" t="s">
        <v>1395</v>
      </c>
      <c r="C14" s="14" t="s">
        <v>1464</v>
      </c>
      <c r="D14" s="14">
        <v>1</v>
      </c>
      <c r="E14" s="14" t="s">
        <v>1465</v>
      </c>
      <c r="F14" s="14" t="s">
        <v>1466</v>
      </c>
      <c r="G14" s="14" t="s">
        <v>1467</v>
      </c>
      <c r="H14" s="14" t="s">
        <v>1468</v>
      </c>
      <c r="I14" s="14" t="s">
        <v>1418</v>
      </c>
      <c r="J14" s="14" t="s">
        <v>1469</v>
      </c>
      <c r="K14" s="14" t="s">
        <v>1470</v>
      </c>
      <c r="L14" s="14" t="s">
        <v>1406</v>
      </c>
      <c r="M14" s="14" t="s">
        <v>1407</v>
      </c>
      <c r="N14" s="14" t="s">
        <v>1471</v>
      </c>
      <c r="O14" s="14" t="s">
        <v>1472</v>
      </c>
      <c r="P14" s="14" t="s">
        <v>1461</v>
      </c>
      <c r="Q14" s="14" t="s">
        <v>1436</v>
      </c>
      <c r="R14" s="14" t="s">
        <v>1473</v>
      </c>
      <c r="S14" s="14" t="s">
        <v>1456</v>
      </c>
      <c r="T14" s="14" t="s">
        <v>1474</v>
      </c>
      <c r="U14" s="14" t="s">
        <v>1421</v>
      </c>
      <c r="V14" s="14" t="s">
        <v>1475</v>
      </c>
      <c r="W14" s="14" t="s">
        <v>1476</v>
      </c>
    </row>
    <row r="15" spans="1:23">
      <c r="A15" s="14" t="s">
        <v>1397</v>
      </c>
      <c r="B15" s="14" t="s">
        <v>1395</v>
      </c>
      <c r="C15" s="14" t="s">
        <v>1477</v>
      </c>
      <c r="D15" s="14">
        <v>1</v>
      </c>
      <c r="E15" s="14" t="s">
        <v>1465</v>
      </c>
      <c r="F15" s="14" t="s">
        <v>1466</v>
      </c>
      <c r="G15" s="14" t="s">
        <v>1467</v>
      </c>
      <c r="H15" s="14" t="s">
        <v>1468</v>
      </c>
      <c r="I15" s="14" t="s">
        <v>1402</v>
      </c>
      <c r="J15" s="14" t="s">
        <v>1469</v>
      </c>
      <c r="K15" s="14" t="s">
        <v>1442</v>
      </c>
      <c r="L15" s="14" t="s">
        <v>1470</v>
      </c>
      <c r="M15" s="14" t="s">
        <v>1452</v>
      </c>
      <c r="N15" s="14" t="s">
        <v>1478</v>
      </c>
      <c r="O15" s="14" t="s">
        <v>1471</v>
      </c>
      <c r="P15" s="14" t="s">
        <v>1472</v>
      </c>
      <c r="Q15" s="14" t="s">
        <v>1455</v>
      </c>
      <c r="R15" s="14" t="s">
        <v>1473</v>
      </c>
      <c r="S15" s="14" t="s">
        <v>1462</v>
      </c>
      <c r="T15" s="14" t="s">
        <v>1474</v>
      </c>
      <c r="U15" s="14" t="s">
        <v>1463</v>
      </c>
      <c r="V15" s="14" t="s">
        <v>1475</v>
      </c>
      <c r="W15" s="14" t="s">
        <v>1476</v>
      </c>
    </row>
    <row r="16" spans="1:23">
      <c r="A16" s="14" t="s">
        <v>1479</v>
      </c>
      <c r="B16" s="14" t="s">
        <v>1395</v>
      </c>
      <c r="C16" s="14" t="s">
        <v>1396</v>
      </c>
      <c r="D16" s="14">
        <v>1</v>
      </c>
      <c r="E16" s="14" t="s">
        <v>1480</v>
      </c>
      <c r="F16" s="14" t="s">
        <v>1482</v>
      </c>
      <c r="G16" s="14" t="s">
        <v>1484</v>
      </c>
      <c r="H16" s="175" t="s">
        <v>1486</v>
      </c>
      <c r="I16" s="14" t="s">
        <v>1488</v>
      </c>
    </row>
    <row r="17" spans="1:16">
      <c r="A17" s="14" t="s">
        <v>1479</v>
      </c>
      <c r="B17" s="14" t="s">
        <v>1395</v>
      </c>
      <c r="C17" s="14" t="s">
        <v>1396</v>
      </c>
      <c r="D17" s="14">
        <v>2</v>
      </c>
      <c r="E17" s="14" t="s">
        <v>1481</v>
      </c>
      <c r="F17" s="14" t="s">
        <v>1483</v>
      </c>
      <c r="G17" s="14" t="s">
        <v>1485</v>
      </c>
      <c r="H17" s="14" t="s">
        <v>1487</v>
      </c>
    </row>
    <row r="18" spans="1:16">
      <c r="A18" s="14" t="s">
        <v>1479</v>
      </c>
      <c r="B18" s="14" t="s">
        <v>1395</v>
      </c>
      <c r="C18" s="14" t="s">
        <v>1417</v>
      </c>
      <c r="D18" s="14">
        <v>1</v>
      </c>
      <c r="E18" s="14" t="s">
        <v>1480</v>
      </c>
      <c r="F18" s="14" t="s">
        <v>1482</v>
      </c>
      <c r="G18" s="14" t="s">
        <v>1489</v>
      </c>
      <c r="H18" s="14" t="s">
        <v>1485</v>
      </c>
      <c r="I18" s="175" t="s">
        <v>1706</v>
      </c>
    </row>
    <row r="19" spans="1:16">
      <c r="A19" s="14" t="s">
        <v>1479</v>
      </c>
      <c r="B19" s="14" t="s">
        <v>1395</v>
      </c>
      <c r="C19" s="14" t="s">
        <v>1417</v>
      </c>
      <c r="D19" s="14">
        <v>2</v>
      </c>
      <c r="E19" s="14" t="s">
        <v>1481</v>
      </c>
      <c r="F19" s="175" t="s">
        <v>1483</v>
      </c>
      <c r="G19" s="14" t="s">
        <v>1484</v>
      </c>
      <c r="H19" s="175" t="s">
        <v>1486</v>
      </c>
    </row>
    <row r="20" spans="1:16">
      <c r="A20" s="14" t="s">
        <v>1479</v>
      </c>
      <c r="B20" s="14" t="s">
        <v>1395</v>
      </c>
      <c r="C20" s="14" t="s">
        <v>1423</v>
      </c>
      <c r="D20" s="14">
        <v>1</v>
      </c>
      <c r="E20" s="14" t="s">
        <v>1490</v>
      </c>
      <c r="F20" s="14" t="s">
        <v>1492</v>
      </c>
      <c r="G20" s="14" t="s">
        <v>1494</v>
      </c>
      <c r="H20" s="14" t="s">
        <v>1495</v>
      </c>
      <c r="I20" s="14" t="s">
        <v>1497</v>
      </c>
      <c r="J20" s="14" t="s">
        <v>1499</v>
      </c>
    </row>
    <row r="21" spans="1:16">
      <c r="A21" s="14" t="s">
        <v>1479</v>
      </c>
      <c r="B21" s="14" t="s">
        <v>1395</v>
      </c>
      <c r="C21" s="14" t="s">
        <v>1423</v>
      </c>
      <c r="D21" s="14">
        <v>2</v>
      </c>
      <c r="E21" s="14" t="s">
        <v>1491</v>
      </c>
      <c r="F21" s="14" t="s">
        <v>1493</v>
      </c>
      <c r="G21" s="14" t="s">
        <v>1489</v>
      </c>
      <c r="H21" s="14" t="s">
        <v>1496</v>
      </c>
      <c r="I21" s="14" t="s">
        <v>1498</v>
      </c>
      <c r="J21" s="14" t="s">
        <v>1500</v>
      </c>
    </row>
    <row r="22" spans="1:16">
      <c r="A22" s="14" t="s">
        <v>1479</v>
      </c>
      <c r="B22" s="14" t="s">
        <v>1395</v>
      </c>
      <c r="C22" s="14" t="s">
        <v>1501</v>
      </c>
      <c r="D22" s="14">
        <v>1</v>
      </c>
      <c r="E22" s="175" t="s">
        <v>1490</v>
      </c>
      <c r="F22" s="14" t="s">
        <v>1491</v>
      </c>
      <c r="G22" s="14" t="s">
        <v>1492</v>
      </c>
      <c r="H22" s="14" t="s">
        <v>1493</v>
      </c>
      <c r="I22" s="14" t="s">
        <v>1494</v>
      </c>
      <c r="J22" s="14" t="s">
        <v>1495</v>
      </c>
      <c r="K22" s="14" t="s">
        <v>1496</v>
      </c>
      <c r="L22" s="14" t="s">
        <v>1497</v>
      </c>
      <c r="M22" s="14" t="s">
        <v>1498</v>
      </c>
      <c r="N22" s="14" t="s">
        <v>1499</v>
      </c>
      <c r="O22" s="14" t="s">
        <v>1500</v>
      </c>
    </row>
    <row r="23" spans="1:16">
      <c r="A23" s="14" t="s">
        <v>1479</v>
      </c>
      <c r="B23" s="14" t="s">
        <v>1395</v>
      </c>
      <c r="C23" s="14" t="s">
        <v>1444</v>
      </c>
      <c r="D23" s="14">
        <v>1</v>
      </c>
      <c r="E23" s="175" t="s">
        <v>1502</v>
      </c>
      <c r="F23" s="14" t="s">
        <v>1503</v>
      </c>
      <c r="G23" s="14" t="s">
        <v>1504</v>
      </c>
      <c r="H23" s="14" t="s">
        <v>1505</v>
      </c>
      <c r="I23" s="14" t="s">
        <v>1506</v>
      </c>
      <c r="J23" s="14" t="s">
        <v>1507</v>
      </c>
      <c r="K23" s="14" t="s">
        <v>1508</v>
      </c>
      <c r="L23" s="14" t="s">
        <v>1509</v>
      </c>
      <c r="M23" s="14" t="s">
        <v>1510</v>
      </c>
      <c r="N23" s="14" t="s">
        <v>1511</v>
      </c>
      <c r="O23" s="14" t="s">
        <v>1512</v>
      </c>
    </row>
    <row r="24" spans="1:16">
      <c r="A24" s="14" t="s">
        <v>1479</v>
      </c>
      <c r="B24" s="14" t="s">
        <v>1395</v>
      </c>
      <c r="C24" s="14" t="s">
        <v>1460</v>
      </c>
      <c r="D24" s="14">
        <v>1</v>
      </c>
      <c r="E24" s="14" t="s">
        <v>1502</v>
      </c>
      <c r="F24" s="175" t="s">
        <v>1503</v>
      </c>
      <c r="G24" s="14" t="s">
        <v>1504</v>
      </c>
      <c r="H24" s="14" t="s">
        <v>1505</v>
      </c>
      <c r="I24" s="14" t="s">
        <v>1506</v>
      </c>
      <c r="J24" s="14" t="s">
        <v>1507</v>
      </c>
      <c r="K24" s="14" t="s">
        <v>1508</v>
      </c>
      <c r="L24" s="14" t="s">
        <v>1509</v>
      </c>
      <c r="M24" s="14" t="s">
        <v>1510</v>
      </c>
      <c r="N24" s="14" t="s">
        <v>1511</v>
      </c>
      <c r="O24" s="14" t="s">
        <v>1512</v>
      </c>
      <c r="P24" s="14" t="s">
        <v>1487</v>
      </c>
    </row>
    <row r="25" spans="1:16">
      <c r="A25" s="14" t="s">
        <v>1479</v>
      </c>
      <c r="B25" s="14" t="s">
        <v>1395</v>
      </c>
      <c r="C25" s="14" t="s">
        <v>1464</v>
      </c>
      <c r="D25" s="14">
        <v>1</v>
      </c>
      <c r="E25" s="14" t="s">
        <v>1513</v>
      </c>
      <c r="F25" s="14" t="s">
        <v>1514</v>
      </c>
      <c r="G25" s="14" t="s">
        <v>1515</v>
      </c>
      <c r="H25" s="175" t="s">
        <v>1516</v>
      </c>
      <c r="I25" s="175" t="s">
        <v>1517</v>
      </c>
      <c r="J25" s="14" t="s">
        <v>1518</v>
      </c>
      <c r="K25" s="14" t="s">
        <v>1519</v>
      </c>
      <c r="L25" s="14" t="s">
        <v>1520</v>
      </c>
      <c r="M25" s="14" t="s">
        <v>1521</v>
      </c>
      <c r="N25" s="14" t="s">
        <v>1522</v>
      </c>
    </row>
    <row r="26" spans="1:16">
      <c r="A26" s="14" t="s">
        <v>1479</v>
      </c>
      <c r="B26" s="14" t="s">
        <v>1395</v>
      </c>
      <c r="C26" s="14" t="s">
        <v>1523</v>
      </c>
      <c r="D26" s="14">
        <v>1</v>
      </c>
      <c r="E26" s="175" t="s">
        <v>1513</v>
      </c>
      <c r="F26" s="14" t="s">
        <v>1514</v>
      </c>
      <c r="G26" s="14" t="s">
        <v>1515</v>
      </c>
      <c r="H26" s="14" t="s">
        <v>1516</v>
      </c>
      <c r="I26" s="14" t="s">
        <v>1517</v>
      </c>
      <c r="J26" s="14" t="s">
        <v>1518</v>
      </c>
      <c r="K26" s="14" t="s">
        <v>1519</v>
      </c>
      <c r="L26" s="14" t="s">
        <v>1520</v>
      </c>
      <c r="M26" s="14" t="s">
        <v>1521</v>
      </c>
      <c r="N26" s="14" t="s">
        <v>1522</v>
      </c>
    </row>
    <row r="27" spans="1:16">
      <c r="A27" s="14" t="s">
        <v>1524</v>
      </c>
      <c r="B27" s="14" t="s">
        <v>1395</v>
      </c>
      <c r="C27" s="14" t="s">
        <v>1396</v>
      </c>
      <c r="D27" s="14">
        <v>1</v>
      </c>
      <c r="E27" s="14" t="s">
        <v>1525</v>
      </c>
      <c r="F27" s="14" t="s">
        <v>1526</v>
      </c>
      <c r="G27" s="175" t="s">
        <v>1527</v>
      </c>
      <c r="H27" s="14" t="s">
        <v>1528</v>
      </c>
      <c r="I27" s="14" t="s">
        <v>1529</v>
      </c>
      <c r="J27" s="14" t="s">
        <v>1530</v>
      </c>
      <c r="K27" s="14" t="s">
        <v>1531</v>
      </c>
      <c r="L27" s="14" t="s">
        <v>1532</v>
      </c>
    </row>
    <row r="28" spans="1:16">
      <c r="A28" s="14" t="s">
        <v>1524</v>
      </c>
      <c r="B28" s="14" t="s">
        <v>1395</v>
      </c>
      <c r="C28" s="14" t="s">
        <v>1417</v>
      </c>
      <c r="D28" s="14">
        <v>1</v>
      </c>
      <c r="E28" s="14" t="s">
        <v>1525</v>
      </c>
      <c r="F28" s="14" t="s">
        <v>1533</v>
      </c>
      <c r="G28" s="175" t="s">
        <v>1534</v>
      </c>
      <c r="H28" s="14" t="s">
        <v>1528</v>
      </c>
      <c r="I28" s="14" t="s">
        <v>1535</v>
      </c>
      <c r="J28" s="14" t="s">
        <v>1536</v>
      </c>
      <c r="K28" s="14" t="s">
        <v>1537</v>
      </c>
    </row>
    <row r="29" spans="1:16">
      <c r="A29" s="14" t="s">
        <v>1524</v>
      </c>
      <c r="B29" s="14" t="s">
        <v>1395</v>
      </c>
      <c r="C29" s="14" t="s">
        <v>1423</v>
      </c>
      <c r="D29" s="14">
        <v>1</v>
      </c>
      <c r="E29" s="14" t="s">
        <v>1538</v>
      </c>
      <c r="F29" s="14" t="s">
        <v>1534</v>
      </c>
      <c r="G29" s="14" t="s">
        <v>1539</v>
      </c>
      <c r="H29" s="14" t="s">
        <v>1540</v>
      </c>
      <c r="I29" s="14" t="s">
        <v>1536</v>
      </c>
      <c r="J29" s="14" t="s">
        <v>1530</v>
      </c>
      <c r="K29" s="14" t="s">
        <v>1537</v>
      </c>
      <c r="L29" s="14" t="s">
        <v>1541</v>
      </c>
    </row>
    <row r="30" spans="1:16">
      <c r="A30" s="14" t="s">
        <v>1524</v>
      </c>
      <c r="B30" s="14" t="s">
        <v>1395</v>
      </c>
      <c r="C30" s="14" t="s">
        <v>1501</v>
      </c>
      <c r="D30" s="14">
        <v>1</v>
      </c>
      <c r="E30" s="14" t="s">
        <v>1538</v>
      </c>
      <c r="F30" s="14" t="s">
        <v>1533</v>
      </c>
      <c r="G30" s="14" t="s">
        <v>1539</v>
      </c>
      <c r="H30" s="14" t="s">
        <v>1542</v>
      </c>
      <c r="I30" s="14" t="s">
        <v>1540</v>
      </c>
      <c r="J30" s="14" t="s">
        <v>1543</v>
      </c>
      <c r="K30" s="14" t="s">
        <v>1544</v>
      </c>
      <c r="L30" s="14" t="s">
        <v>1541</v>
      </c>
    </row>
    <row r="31" spans="1:16">
      <c r="A31" s="14" t="s">
        <v>1524</v>
      </c>
      <c r="B31" s="14" t="s">
        <v>1395</v>
      </c>
      <c r="C31" s="14" t="s">
        <v>1444</v>
      </c>
      <c r="D31" s="14">
        <v>1</v>
      </c>
      <c r="E31" s="14" t="s">
        <v>1545</v>
      </c>
      <c r="F31" s="14" t="s">
        <v>1546</v>
      </c>
      <c r="G31" s="14" t="s">
        <v>1526</v>
      </c>
      <c r="H31" s="14" t="s">
        <v>1547</v>
      </c>
      <c r="I31" s="14" t="s">
        <v>1548</v>
      </c>
      <c r="J31" s="14" t="s">
        <v>1531</v>
      </c>
      <c r="K31" s="14" t="s">
        <v>1549</v>
      </c>
    </row>
    <row r="32" spans="1:16">
      <c r="A32" s="14" t="s">
        <v>1524</v>
      </c>
      <c r="B32" s="14" t="s">
        <v>1395</v>
      </c>
      <c r="C32" s="14" t="s">
        <v>1460</v>
      </c>
      <c r="D32" s="14">
        <v>1</v>
      </c>
      <c r="E32" s="14" t="s">
        <v>1550</v>
      </c>
      <c r="F32" s="14" t="s">
        <v>1551</v>
      </c>
      <c r="G32" s="14" t="s">
        <v>1552</v>
      </c>
      <c r="H32" s="14" t="s">
        <v>1547</v>
      </c>
      <c r="I32" s="14" t="s">
        <v>1543</v>
      </c>
      <c r="J32" s="14" t="s">
        <v>1548</v>
      </c>
      <c r="K32" s="14" t="s">
        <v>1549</v>
      </c>
      <c r="L32" s="14" t="s">
        <v>1544</v>
      </c>
    </row>
    <row r="33" spans="1:24">
      <c r="A33" s="14" t="s">
        <v>1524</v>
      </c>
      <c r="B33" s="14" t="s">
        <v>1395</v>
      </c>
      <c r="C33" s="14" t="s">
        <v>1553</v>
      </c>
      <c r="D33" s="14">
        <v>1</v>
      </c>
      <c r="E33" s="14" t="s">
        <v>1550</v>
      </c>
      <c r="F33" s="14" t="s">
        <v>1545</v>
      </c>
      <c r="G33" s="14" t="s">
        <v>1551</v>
      </c>
      <c r="H33" s="14" t="s">
        <v>1552</v>
      </c>
      <c r="I33" s="14" t="s">
        <v>1554</v>
      </c>
      <c r="J33" s="14" t="s">
        <v>1532</v>
      </c>
      <c r="K33" s="14" t="s">
        <v>1555</v>
      </c>
    </row>
    <row r="34" spans="1:24">
      <c r="A34" s="14" t="s">
        <v>1524</v>
      </c>
      <c r="B34" s="14" t="s">
        <v>1395</v>
      </c>
      <c r="C34" s="14" t="s">
        <v>1523</v>
      </c>
      <c r="D34" s="14">
        <v>1</v>
      </c>
      <c r="E34" s="14" t="s">
        <v>1546</v>
      </c>
      <c r="F34" s="14" t="s">
        <v>1527</v>
      </c>
      <c r="G34" s="14" t="s">
        <v>1542</v>
      </c>
      <c r="H34" s="14" t="s">
        <v>1535</v>
      </c>
      <c r="I34" s="14" t="s">
        <v>1529</v>
      </c>
      <c r="J34" s="14" t="s">
        <v>1554</v>
      </c>
      <c r="K34" s="14" t="s">
        <v>1555</v>
      </c>
    </row>
    <row r="35" spans="1:24">
      <c r="A35" s="14" t="s">
        <v>1397</v>
      </c>
      <c r="B35" s="14" t="s">
        <v>1556</v>
      </c>
      <c r="C35" s="14" t="s">
        <v>1396</v>
      </c>
      <c r="D35" s="14">
        <v>1</v>
      </c>
      <c r="E35" s="14" t="s">
        <v>1557</v>
      </c>
      <c r="F35" s="14" t="s">
        <v>1560</v>
      </c>
      <c r="G35" s="14" t="s">
        <v>1563</v>
      </c>
      <c r="H35" s="14" t="s">
        <v>1566</v>
      </c>
      <c r="I35" s="14" t="s">
        <v>1569</v>
      </c>
      <c r="J35" s="14" t="s">
        <v>1572</v>
      </c>
      <c r="K35" s="14" t="s">
        <v>730</v>
      </c>
    </row>
    <row r="36" spans="1:24">
      <c r="A36" s="14" t="s">
        <v>1397</v>
      </c>
      <c r="B36" s="14" t="s">
        <v>1556</v>
      </c>
      <c r="C36" s="14" t="s">
        <v>1396</v>
      </c>
      <c r="D36" s="14">
        <v>2</v>
      </c>
      <c r="E36" s="14" t="s">
        <v>1558</v>
      </c>
      <c r="F36" s="14" t="s">
        <v>1561</v>
      </c>
      <c r="G36" s="14" t="s">
        <v>1564</v>
      </c>
      <c r="H36" s="14" t="s">
        <v>1567</v>
      </c>
      <c r="I36" s="14" t="s">
        <v>1570</v>
      </c>
      <c r="J36" s="14" t="s">
        <v>1573</v>
      </c>
    </row>
    <row r="37" spans="1:24">
      <c r="A37" s="14" t="s">
        <v>1397</v>
      </c>
      <c r="B37" s="14" t="s">
        <v>1556</v>
      </c>
      <c r="C37" s="14" t="s">
        <v>1396</v>
      </c>
      <c r="D37" s="14">
        <v>3</v>
      </c>
      <c r="E37" s="14" t="s">
        <v>1559</v>
      </c>
      <c r="F37" s="14" t="s">
        <v>1562</v>
      </c>
      <c r="G37" s="14" t="s">
        <v>1565</v>
      </c>
      <c r="H37" s="14" t="s">
        <v>1568</v>
      </c>
      <c r="I37" s="14" t="s">
        <v>1571</v>
      </c>
      <c r="J37" s="14" t="s">
        <v>729</v>
      </c>
    </row>
    <row r="38" spans="1:24">
      <c r="A38" s="14" t="s">
        <v>1397</v>
      </c>
      <c r="B38" s="14" t="s">
        <v>1556</v>
      </c>
      <c r="C38" s="14" t="s">
        <v>1417</v>
      </c>
      <c r="D38" s="14">
        <v>1</v>
      </c>
      <c r="E38" s="14" t="s">
        <v>1574</v>
      </c>
      <c r="F38" s="14" t="s">
        <v>1560</v>
      </c>
      <c r="G38" s="14" t="s">
        <v>1563</v>
      </c>
      <c r="H38" s="14" t="s">
        <v>1578</v>
      </c>
      <c r="I38" s="14" t="s">
        <v>1568</v>
      </c>
      <c r="J38" s="14" t="s">
        <v>1582</v>
      </c>
      <c r="K38" s="14" t="s">
        <v>1571</v>
      </c>
      <c r="L38" s="14" t="s">
        <v>730</v>
      </c>
    </row>
    <row r="39" spans="1:24">
      <c r="A39" s="14" t="s">
        <v>1397</v>
      </c>
      <c r="B39" s="14" t="s">
        <v>1556</v>
      </c>
      <c r="C39" s="14" t="s">
        <v>1417</v>
      </c>
      <c r="D39" s="14">
        <v>2</v>
      </c>
      <c r="E39" s="14" t="s">
        <v>1575</v>
      </c>
      <c r="F39" s="14" t="s">
        <v>1561</v>
      </c>
      <c r="G39" s="14" t="s">
        <v>1576</v>
      </c>
      <c r="H39" s="14" t="s">
        <v>1567</v>
      </c>
      <c r="I39" s="14" t="s">
        <v>1580</v>
      </c>
      <c r="J39" s="14" t="s">
        <v>1569</v>
      </c>
      <c r="K39" s="14" t="s">
        <v>1572</v>
      </c>
    </row>
    <row r="40" spans="1:24">
      <c r="A40" s="14" t="s">
        <v>1397</v>
      </c>
      <c r="B40" s="14" t="s">
        <v>1556</v>
      </c>
      <c r="C40" s="14" t="s">
        <v>1417</v>
      </c>
      <c r="D40" s="14">
        <v>3</v>
      </c>
      <c r="E40" s="14" t="s">
        <v>1559</v>
      </c>
      <c r="F40" s="14" t="s">
        <v>1562</v>
      </c>
      <c r="G40" s="14" t="s">
        <v>1577</v>
      </c>
      <c r="H40" s="14" t="s">
        <v>1579</v>
      </c>
      <c r="I40" s="14" t="s">
        <v>1581</v>
      </c>
      <c r="J40" s="14" t="s">
        <v>1570</v>
      </c>
      <c r="K40" s="14" t="s">
        <v>1573</v>
      </c>
    </row>
    <row r="41" spans="1:24">
      <c r="A41" s="14" t="s">
        <v>1397</v>
      </c>
      <c r="B41" s="14" t="s">
        <v>1556</v>
      </c>
      <c r="C41" s="14" t="s">
        <v>1423</v>
      </c>
      <c r="D41" s="14">
        <v>1</v>
      </c>
      <c r="E41" s="14" t="s">
        <v>1583</v>
      </c>
      <c r="F41" s="14" t="s">
        <v>1585</v>
      </c>
      <c r="G41" s="14" t="s">
        <v>1588</v>
      </c>
      <c r="H41" s="14" t="s">
        <v>1577</v>
      </c>
      <c r="I41" s="14" t="s">
        <v>1580</v>
      </c>
      <c r="J41" s="14" t="s">
        <v>1594</v>
      </c>
      <c r="K41" s="14" t="s">
        <v>1597</v>
      </c>
    </row>
    <row r="42" spans="1:24">
      <c r="A42" s="14" t="s">
        <v>1397</v>
      </c>
      <c r="B42" s="14" t="s">
        <v>1556</v>
      </c>
      <c r="C42" s="14" t="s">
        <v>1423</v>
      </c>
      <c r="D42" s="14">
        <v>2</v>
      </c>
      <c r="E42" s="14" t="s">
        <v>1575</v>
      </c>
      <c r="F42" s="14" t="s">
        <v>1586</v>
      </c>
      <c r="G42" s="14" t="s">
        <v>1589</v>
      </c>
      <c r="H42" s="14" t="s">
        <v>1590</v>
      </c>
      <c r="I42" s="14" t="s">
        <v>1592</v>
      </c>
      <c r="J42" s="14" t="s">
        <v>1595</v>
      </c>
      <c r="K42" s="14" t="s">
        <v>731</v>
      </c>
    </row>
    <row r="43" spans="1:24">
      <c r="A43" s="14" t="s">
        <v>1397</v>
      </c>
      <c r="B43" s="14" t="s">
        <v>1556</v>
      </c>
      <c r="C43" s="14" t="s">
        <v>1423</v>
      </c>
      <c r="D43" s="14">
        <v>3</v>
      </c>
      <c r="E43" s="14" t="s">
        <v>1584</v>
      </c>
      <c r="F43" s="14" t="s">
        <v>1587</v>
      </c>
      <c r="G43" s="14" t="s">
        <v>1576</v>
      </c>
      <c r="H43" s="14" t="s">
        <v>1591</v>
      </c>
      <c r="I43" s="14" t="s">
        <v>1593</v>
      </c>
      <c r="J43" s="14" t="s">
        <v>1596</v>
      </c>
    </row>
    <row r="44" spans="1:24">
      <c r="A44" s="14" t="s">
        <v>1397</v>
      </c>
      <c r="B44" s="14" t="s">
        <v>1556</v>
      </c>
      <c r="C44" s="14" t="s">
        <v>1441</v>
      </c>
      <c r="D44" s="14">
        <v>1</v>
      </c>
      <c r="E44" s="14" t="s">
        <v>1583</v>
      </c>
      <c r="F44" s="14" t="s">
        <v>1598</v>
      </c>
      <c r="G44" s="14" t="s">
        <v>1584</v>
      </c>
      <c r="H44" s="14" t="s">
        <v>1585</v>
      </c>
      <c r="I44" s="14" t="s">
        <v>1586</v>
      </c>
      <c r="J44" s="14" t="s">
        <v>1587</v>
      </c>
      <c r="K44" s="14" t="s">
        <v>1565</v>
      </c>
      <c r="L44" s="14" t="s">
        <v>1590</v>
      </c>
      <c r="M44" s="14" t="s">
        <v>1591</v>
      </c>
      <c r="N44" s="14" t="s">
        <v>1592</v>
      </c>
      <c r="O44" s="14" t="s">
        <v>1581</v>
      </c>
      <c r="P44" s="14" t="s">
        <v>1593</v>
      </c>
      <c r="Q44" s="14" t="s">
        <v>1599</v>
      </c>
      <c r="R44" s="14" t="s">
        <v>1595</v>
      </c>
      <c r="S44" s="14" t="s">
        <v>1596</v>
      </c>
      <c r="T44" s="14" t="s">
        <v>1597</v>
      </c>
      <c r="U44" s="14" t="s">
        <v>731</v>
      </c>
    </row>
    <row r="45" spans="1:24">
      <c r="A45" s="14" t="s">
        <v>1397</v>
      </c>
      <c r="B45" s="14" t="s">
        <v>1556</v>
      </c>
      <c r="C45" s="14" t="s">
        <v>1444</v>
      </c>
      <c r="D45" s="14">
        <v>1</v>
      </c>
      <c r="E45" s="14" t="s">
        <v>1574</v>
      </c>
      <c r="F45" s="14" t="s">
        <v>1558</v>
      </c>
      <c r="G45" s="14" t="s">
        <v>1600</v>
      </c>
      <c r="H45" s="14" t="s">
        <v>1601</v>
      </c>
      <c r="I45" s="14" t="s">
        <v>1602</v>
      </c>
      <c r="J45" s="14" t="s">
        <v>1603</v>
      </c>
      <c r="K45" s="14" t="s">
        <v>1588</v>
      </c>
      <c r="L45" s="14" t="s">
        <v>1564</v>
      </c>
      <c r="M45" s="14" t="s">
        <v>1604</v>
      </c>
      <c r="N45" s="14" t="s">
        <v>1605</v>
      </c>
      <c r="O45" s="14" t="s">
        <v>1606</v>
      </c>
      <c r="P45" s="14" t="s">
        <v>1607</v>
      </c>
      <c r="Q45" s="14" t="s">
        <v>1608</v>
      </c>
      <c r="R45" s="14" t="s">
        <v>1609</v>
      </c>
      <c r="S45" s="14" t="s">
        <v>1610</v>
      </c>
      <c r="T45" s="14" t="s">
        <v>1594</v>
      </c>
      <c r="U45" s="14" t="s">
        <v>1611</v>
      </c>
      <c r="V45" s="14" t="s">
        <v>1612</v>
      </c>
      <c r="W45" s="14" t="s">
        <v>1613</v>
      </c>
      <c r="X45" s="14" t="s">
        <v>732</v>
      </c>
    </row>
    <row r="46" spans="1:24">
      <c r="A46" s="14" t="s">
        <v>1397</v>
      </c>
      <c r="B46" s="14" t="s">
        <v>1556</v>
      </c>
      <c r="C46" s="14" t="s">
        <v>1460</v>
      </c>
      <c r="D46" s="14">
        <v>1</v>
      </c>
      <c r="E46" s="14" t="s">
        <v>1557</v>
      </c>
      <c r="F46" s="14" t="s">
        <v>1600</v>
      </c>
      <c r="G46" s="14" t="s">
        <v>1601</v>
      </c>
      <c r="H46" s="14" t="s">
        <v>1602</v>
      </c>
      <c r="I46" s="14" t="s">
        <v>1603</v>
      </c>
      <c r="J46" s="14" t="s">
        <v>1614</v>
      </c>
      <c r="K46" s="14" t="s">
        <v>1604</v>
      </c>
      <c r="L46" s="14" t="s">
        <v>1605</v>
      </c>
      <c r="M46" s="14" t="s">
        <v>1606</v>
      </c>
      <c r="N46" s="14" t="s">
        <v>1607</v>
      </c>
      <c r="O46" s="14" t="s">
        <v>1608</v>
      </c>
      <c r="P46" s="14" t="s">
        <v>1609</v>
      </c>
      <c r="Q46" s="14" t="s">
        <v>1610</v>
      </c>
      <c r="R46" s="14" t="s">
        <v>1599</v>
      </c>
      <c r="S46" s="14" t="s">
        <v>1611</v>
      </c>
      <c r="T46" s="14" t="s">
        <v>1612</v>
      </c>
      <c r="U46" s="14" t="s">
        <v>1613</v>
      </c>
      <c r="V46" s="14" t="s">
        <v>732</v>
      </c>
    </row>
    <row r="47" spans="1:24">
      <c r="A47" s="14" t="s">
        <v>1397</v>
      </c>
      <c r="B47" s="14" t="s">
        <v>1556</v>
      </c>
      <c r="C47" s="14" t="s">
        <v>1464</v>
      </c>
      <c r="D47" s="14">
        <v>1</v>
      </c>
      <c r="E47" s="14" t="s">
        <v>1615</v>
      </c>
      <c r="F47" s="14" t="s">
        <v>1616</v>
      </c>
      <c r="G47" s="14" t="s">
        <v>1617</v>
      </c>
      <c r="H47" s="14" t="s">
        <v>1618</v>
      </c>
      <c r="I47" s="14" t="s">
        <v>1619</v>
      </c>
      <c r="J47" s="14" t="s">
        <v>1620</v>
      </c>
      <c r="K47" s="14" t="s">
        <v>1621</v>
      </c>
      <c r="L47" s="14" t="s">
        <v>1622</v>
      </c>
      <c r="M47" s="14" t="s">
        <v>1623</v>
      </c>
      <c r="N47" s="14" t="s">
        <v>1624</v>
      </c>
      <c r="O47" s="14" t="s">
        <v>1625</v>
      </c>
      <c r="P47" s="14" t="s">
        <v>1579</v>
      </c>
      <c r="Q47" s="14" t="s">
        <v>1626</v>
      </c>
      <c r="R47" s="14" t="s">
        <v>1627</v>
      </c>
      <c r="S47" s="14" t="s">
        <v>1628</v>
      </c>
      <c r="T47" s="14" t="s">
        <v>1629</v>
      </c>
      <c r="U47" s="14" t="s">
        <v>1630</v>
      </c>
      <c r="V47" s="14" t="s">
        <v>1631</v>
      </c>
      <c r="W47" s="14" t="s">
        <v>1632</v>
      </c>
    </row>
    <row r="48" spans="1:24">
      <c r="A48" s="14" t="s">
        <v>1397</v>
      </c>
      <c r="B48" s="14" t="s">
        <v>1556</v>
      </c>
      <c r="C48" s="14" t="s">
        <v>1477</v>
      </c>
      <c r="D48" s="14">
        <v>1</v>
      </c>
      <c r="E48" s="14" t="s">
        <v>1615</v>
      </c>
      <c r="F48" s="14" t="s">
        <v>1616</v>
      </c>
      <c r="G48" s="14" t="s">
        <v>1617</v>
      </c>
      <c r="H48" s="14" t="s">
        <v>1618</v>
      </c>
      <c r="I48" s="14" t="s">
        <v>1619</v>
      </c>
      <c r="J48" s="14" t="s">
        <v>1620</v>
      </c>
      <c r="K48" s="14" t="s">
        <v>1621</v>
      </c>
      <c r="L48" s="14" t="s">
        <v>1622</v>
      </c>
      <c r="M48" s="14" t="s">
        <v>1614</v>
      </c>
      <c r="N48" s="14" t="s">
        <v>1624</v>
      </c>
      <c r="O48" s="14" t="s">
        <v>1633</v>
      </c>
      <c r="P48" s="14" t="s">
        <v>1626</v>
      </c>
      <c r="Q48" s="14" t="s">
        <v>1627</v>
      </c>
      <c r="R48" s="14" t="s">
        <v>1582</v>
      </c>
      <c r="S48" s="14" t="s">
        <v>1628</v>
      </c>
      <c r="T48" s="14" t="s">
        <v>1629</v>
      </c>
      <c r="U48" s="14" t="s">
        <v>1630</v>
      </c>
      <c r="V48" s="14" t="s">
        <v>1631</v>
      </c>
      <c r="W48" s="14" t="s">
        <v>1632</v>
      </c>
      <c r="X48" s="14" t="s">
        <v>733</v>
      </c>
    </row>
    <row r="49" spans="1:15">
      <c r="A49" s="14" t="s">
        <v>1479</v>
      </c>
      <c r="B49" s="14" t="s">
        <v>1556</v>
      </c>
      <c r="C49" s="14" t="s">
        <v>1396</v>
      </c>
      <c r="D49" s="14">
        <v>1</v>
      </c>
      <c r="E49" s="14" t="s">
        <v>1634</v>
      </c>
      <c r="F49" s="14" t="s">
        <v>1636</v>
      </c>
      <c r="G49" s="14" t="s">
        <v>1638</v>
      </c>
      <c r="H49" s="14" t="s">
        <v>1640</v>
      </c>
      <c r="I49" s="14" t="s">
        <v>1642</v>
      </c>
      <c r="J49" s="14" t="s">
        <v>1644</v>
      </c>
    </row>
    <row r="50" spans="1:15">
      <c r="A50" s="14" t="s">
        <v>1479</v>
      </c>
      <c r="B50" s="14" t="s">
        <v>1556</v>
      </c>
      <c r="C50" s="14" t="s">
        <v>1396</v>
      </c>
      <c r="D50" s="14">
        <v>2</v>
      </c>
      <c r="E50" s="14" t="s">
        <v>1635</v>
      </c>
      <c r="F50" s="14" t="s">
        <v>1637</v>
      </c>
      <c r="G50" s="14" t="s">
        <v>1639</v>
      </c>
      <c r="H50" s="14" t="s">
        <v>1641</v>
      </c>
      <c r="I50" s="14" t="s">
        <v>1643</v>
      </c>
      <c r="J50" s="14" t="s">
        <v>1645</v>
      </c>
    </row>
    <row r="51" spans="1:15">
      <c r="A51" s="14" t="s">
        <v>1479</v>
      </c>
      <c r="B51" s="14" t="s">
        <v>1556</v>
      </c>
      <c r="C51" s="14" t="s">
        <v>1417</v>
      </c>
      <c r="D51" s="14">
        <v>1</v>
      </c>
      <c r="E51" s="14" t="s">
        <v>1634</v>
      </c>
      <c r="F51" s="14" t="s">
        <v>1636</v>
      </c>
      <c r="G51" s="14" t="s">
        <v>1638</v>
      </c>
      <c r="H51" s="14" t="s">
        <v>1641</v>
      </c>
      <c r="I51" s="14" t="s">
        <v>1643</v>
      </c>
      <c r="J51" s="14" t="s">
        <v>1645</v>
      </c>
    </row>
    <row r="52" spans="1:15">
      <c r="A52" s="14" t="s">
        <v>1479</v>
      </c>
      <c r="B52" s="14" t="s">
        <v>1556</v>
      </c>
      <c r="C52" s="14" t="s">
        <v>1417</v>
      </c>
      <c r="D52" s="14">
        <v>2</v>
      </c>
      <c r="E52" s="14" t="s">
        <v>1635</v>
      </c>
      <c r="F52" s="14" t="s">
        <v>1637</v>
      </c>
      <c r="G52" s="14" t="s">
        <v>1639</v>
      </c>
      <c r="H52" s="14" t="s">
        <v>1642</v>
      </c>
      <c r="I52" s="14" t="s">
        <v>1644</v>
      </c>
      <c r="J52" s="14" t="s">
        <v>1646</v>
      </c>
    </row>
    <row r="53" spans="1:15">
      <c r="A53" s="14" t="s">
        <v>1479</v>
      </c>
      <c r="B53" s="14" t="s">
        <v>1556</v>
      </c>
      <c r="C53" s="14" t="s">
        <v>1501</v>
      </c>
      <c r="D53" s="14">
        <v>1</v>
      </c>
      <c r="E53" s="14" t="s">
        <v>1647</v>
      </c>
      <c r="F53" s="14" t="s">
        <v>1648</v>
      </c>
      <c r="G53" s="14" t="s">
        <v>1649</v>
      </c>
      <c r="H53" s="14" t="s">
        <v>1650</v>
      </c>
      <c r="I53" s="14" t="s">
        <v>1651</v>
      </c>
      <c r="J53" s="14" t="s">
        <v>1640</v>
      </c>
      <c r="K53" s="14" t="s">
        <v>1652</v>
      </c>
      <c r="L53" s="14" t="s">
        <v>1653</v>
      </c>
      <c r="M53" s="14" t="s">
        <v>1654</v>
      </c>
      <c r="N53" s="14" t="s">
        <v>1655</v>
      </c>
    </row>
    <row r="54" spans="1:15">
      <c r="A54" s="14" t="s">
        <v>1479</v>
      </c>
      <c r="B54" s="14" t="s">
        <v>1556</v>
      </c>
      <c r="C54" s="14" t="s">
        <v>1444</v>
      </c>
      <c r="D54" s="14">
        <v>1</v>
      </c>
      <c r="E54" s="14" t="s">
        <v>1656</v>
      </c>
      <c r="F54" s="14" t="s">
        <v>1657</v>
      </c>
      <c r="G54" s="14" t="s">
        <v>1658</v>
      </c>
      <c r="H54" s="175" t="s">
        <v>1659</v>
      </c>
      <c r="I54" s="14" t="s">
        <v>1660</v>
      </c>
      <c r="J54" s="14" t="s">
        <v>1661</v>
      </c>
      <c r="K54" s="14" t="s">
        <v>1662</v>
      </c>
      <c r="L54" s="14" t="s">
        <v>1663</v>
      </c>
      <c r="M54" s="14" t="s">
        <v>1664</v>
      </c>
      <c r="N54" s="14" t="s">
        <v>1646</v>
      </c>
    </row>
    <row r="55" spans="1:15">
      <c r="A55" s="14" t="s">
        <v>1479</v>
      </c>
      <c r="B55" s="14" t="s">
        <v>1556</v>
      </c>
      <c r="C55" s="14" t="s">
        <v>1460</v>
      </c>
      <c r="D55" s="14">
        <v>1</v>
      </c>
      <c r="E55" s="14" t="s">
        <v>1656</v>
      </c>
      <c r="F55" s="14" t="s">
        <v>1657</v>
      </c>
      <c r="G55" s="14" t="s">
        <v>1658</v>
      </c>
      <c r="H55" s="14" t="s">
        <v>1659</v>
      </c>
      <c r="I55" s="14" t="s">
        <v>1660</v>
      </c>
      <c r="J55" s="14" t="s">
        <v>1661</v>
      </c>
      <c r="K55" s="14" t="s">
        <v>1662</v>
      </c>
      <c r="L55" s="14" t="s">
        <v>1663</v>
      </c>
      <c r="M55" s="14" t="s">
        <v>1664</v>
      </c>
    </row>
    <row r="56" spans="1:15">
      <c r="A56" s="14" t="s">
        <v>1479</v>
      </c>
      <c r="B56" s="14" t="s">
        <v>1556</v>
      </c>
      <c r="C56" s="14" t="s">
        <v>1464</v>
      </c>
      <c r="D56" s="14">
        <v>1</v>
      </c>
      <c r="E56" s="14" t="s">
        <v>1665</v>
      </c>
      <c r="F56" s="14" t="s">
        <v>1666</v>
      </c>
      <c r="G56" s="14" t="s">
        <v>1667</v>
      </c>
      <c r="H56" s="14" t="s">
        <v>1668</v>
      </c>
      <c r="I56" s="14" t="s">
        <v>1669</v>
      </c>
      <c r="J56" s="14" t="s">
        <v>1670</v>
      </c>
      <c r="K56" s="14" t="s">
        <v>1671</v>
      </c>
      <c r="L56" s="14" t="s">
        <v>1672</v>
      </c>
      <c r="M56" s="14" t="s">
        <v>1673</v>
      </c>
      <c r="N56" s="14" t="s">
        <v>1674</v>
      </c>
      <c r="O56" s="14" t="s">
        <v>1675</v>
      </c>
    </row>
    <row r="57" spans="1:15">
      <c r="A57" s="14" t="s">
        <v>1479</v>
      </c>
      <c r="B57" s="14" t="s">
        <v>1556</v>
      </c>
      <c r="C57" s="14" t="s">
        <v>1523</v>
      </c>
      <c r="D57" s="14">
        <v>1</v>
      </c>
      <c r="E57" s="14" t="s">
        <v>1665</v>
      </c>
      <c r="F57" s="14" t="s">
        <v>1666</v>
      </c>
      <c r="G57" s="14" t="s">
        <v>1667</v>
      </c>
      <c r="H57" s="14" t="s">
        <v>1668</v>
      </c>
      <c r="I57" s="14" t="s">
        <v>1669</v>
      </c>
      <c r="J57" s="14" t="s">
        <v>1670</v>
      </c>
      <c r="K57" s="14" t="s">
        <v>1671</v>
      </c>
      <c r="L57" s="14" t="s">
        <v>1672</v>
      </c>
      <c r="M57" s="14" t="s">
        <v>1673</v>
      </c>
      <c r="N57" s="14" t="s">
        <v>1674</v>
      </c>
      <c r="O57" s="14" t="s">
        <v>1675</v>
      </c>
    </row>
    <row r="58" spans="1:15">
      <c r="A58" s="14" t="s">
        <v>1524</v>
      </c>
      <c r="B58" s="14" t="s">
        <v>1556</v>
      </c>
      <c r="C58" s="14" t="s">
        <v>1396</v>
      </c>
      <c r="D58" s="14">
        <v>1</v>
      </c>
      <c r="E58" s="14" t="s">
        <v>1676</v>
      </c>
      <c r="F58" s="14" t="s">
        <v>1677</v>
      </c>
      <c r="G58" s="14" t="s">
        <v>1678</v>
      </c>
      <c r="H58" s="14" t="s">
        <v>1679</v>
      </c>
      <c r="I58" s="175" t="s">
        <v>1680</v>
      </c>
    </row>
    <row r="59" spans="1:15">
      <c r="A59" s="14" t="s">
        <v>1524</v>
      </c>
      <c r="B59" s="14" t="s">
        <v>1556</v>
      </c>
      <c r="C59" s="14" t="s">
        <v>1417</v>
      </c>
      <c r="D59" s="14">
        <v>1</v>
      </c>
      <c r="E59" s="14" t="s">
        <v>1677</v>
      </c>
      <c r="F59" s="14" t="s">
        <v>1681</v>
      </c>
      <c r="G59" s="14" t="s">
        <v>1682</v>
      </c>
      <c r="H59" s="14" t="s">
        <v>1683</v>
      </c>
      <c r="I59" s="14" t="s">
        <v>1684</v>
      </c>
      <c r="J59" s="14" t="s">
        <v>1685</v>
      </c>
      <c r="K59" s="14" t="s">
        <v>1686</v>
      </c>
      <c r="L59" s="14" t="s">
        <v>1687</v>
      </c>
    </row>
    <row r="60" spans="1:15">
      <c r="A60" s="14" t="s">
        <v>1524</v>
      </c>
      <c r="B60" s="14" t="s">
        <v>1556</v>
      </c>
      <c r="C60" s="14" t="s">
        <v>1423</v>
      </c>
      <c r="D60" s="14">
        <v>1</v>
      </c>
      <c r="E60" s="14" t="s">
        <v>1688</v>
      </c>
      <c r="F60" s="14" t="s">
        <v>1689</v>
      </c>
      <c r="G60" s="14" t="s">
        <v>1690</v>
      </c>
      <c r="H60" s="14" t="s">
        <v>1691</v>
      </c>
      <c r="I60" s="14" t="s">
        <v>1692</v>
      </c>
      <c r="J60" s="14" t="s">
        <v>1693</v>
      </c>
      <c r="K60" s="14" t="s">
        <v>1687</v>
      </c>
    </row>
    <row r="61" spans="1:15">
      <c r="A61" s="14" t="s">
        <v>1524</v>
      </c>
      <c r="B61" s="14" t="s">
        <v>1556</v>
      </c>
      <c r="C61" s="14" t="s">
        <v>1501</v>
      </c>
      <c r="D61" s="14">
        <v>1</v>
      </c>
      <c r="E61" s="14" t="s">
        <v>1688</v>
      </c>
      <c r="F61" s="14" t="s">
        <v>1690</v>
      </c>
      <c r="G61" s="14" t="s">
        <v>1691</v>
      </c>
      <c r="H61" s="14" t="s">
        <v>1692</v>
      </c>
      <c r="I61" s="14" t="s">
        <v>1684</v>
      </c>
      <c r="J61" s="14" t="s">
        <v>1694</v>
      </c>
      <c r="K61" s="14" t="s">
        <v>1695</v>
      </c>
      <c r="L61" s="14" t="s">
        <v>1696</v>
      </c>
    </row>
    <row r="62" spans="1:15">
      <c r="A62" s="14" t="s">
        <v>1524</v>
      </c>
      <c r="B62" s="14" t="s">
        <v>1556</v>
      </c>
      <c r="C62" s="14" t="s">
        <v>1444</v>
      </c>
      <c r="D62" s="14">
        <v>1</v>
      </c>
      <c r="E62" s="14" t="s">
        <v>1697</v>
      </c>
      <c r="F62" s="14" t="s">
        <v>1678</v>
      </c>
      <c r="G62" s="14" t="s">
        <v>1698</v>
      </c>
      <c r="H62" s="14" t="s">
        <v>1699</v>
      </c>
      <c r="I62" s="14" t="s">
        <v>1685</v>
      </c>
      <c r="J62" s="14" t="s">
        <v>1700</v>
      </c>
      <c r="K62" s="14" t="s">
        <v>1701</v>
      </c>
    </row>
    <row r="63" spans="1:15">
      <c r="A63" s="14" t="s">
        <v>1524</v>
      </c>
      <c r="B63" s="14" t="s">
        <v>1556</v>
      </c>
      <c r="C63" s="14" t="s">
        <v>1460</v>
      </c>
      <c r="D63" s="14">
        <v>1</v>
      </c>
      <c r="E63" s="14" t="s">
        <v>1697</v>
      </c>
      <c r="F63" s="14" t="s">
        <v>1689</v>
      </c>
      <c r="G63" s="14" t="s">
        <v>1698</v>
      </c>
      <c r="H63" s="14" t="s">
        <v>1682</v>
      </c>
      <c r="I63" s="14" t="s">
        <v>1702</v>
      </c>
      <c r="J63" s="14" t="s">
        <v>1703</v>
      </c>
      <c r="K63" s="14" t="s">
        <v>1686</v>
      </c>
      <c r="L63" s="14" t="s">
        <v>1696</v>
      </c>
    </row>
    <row r="64" spans="1:15">
      <c r="A64" s="14" t="s">
        <v>1524</v>
      </c>
      <c r="B64" s="14" t="s">
        <v>1556</v>
      </c>
      <c r="C64" s="14" t="s">
        <v>1553</v>
      </c>
      <c r="D64" s="14">
        <v>1</v>
      </c>
      <c r="E64" s="14" t="s">
        <v>1704</v>
      </c>
      <c r="F64" s="14" t="s">
        <v>1681</v>
      </c>
      <c r="G64" s="14" t="s">
        <v>1705</v>
      </c>
      <c r="H64" s="14" t="s">
        <v>1702</v>
      </c>
      <c r="I64" s="14" t="s">
        <v>1683</v>
      </c>
      <c r="J64" s="14" t="s">
        <v>1699</v>
      </c>
      <c r="K64" s="14" t="s">
        <v>1703</v>
      </c>
      <c r="L64" s="14" t="s">
        <v>1680</v>
      </c>
      <c r="M64" s="14" t="s">
        <v>1700</v>
      </c>
      <c r="N64" s="14" t="s">
        <v>1695</v>
      </c>
      <c r="O64" s="14" t="s">
        <v>1701</v>
      </c>
    </row>
    <row r="65" spans="1:10">
      <c r="A65" s="14" t="s">
        <v>1524</v>
      </c>
      <c r="B65" s="14" t="s">
        <v>1556</v>
      </c>
      <c r="C65" s="14" t="s">
        <v>1523</v>
      </c>
      <c r="D65" s="14">
        <v>1</v>
      </c>
      <c r="E65" s="14" t="s">
        <v>1676</v>
      </c>
      <c r="F65" s="14" t="s">
        <v>1704</v>
      </c>
      <c r="G65" s="14" t="s">
        <v>1705</v>
      </c>
      <c r="H65" s="14" t="s">
        <v>1679</v>
      </c>
      <c r="I65" s="14" t="s">
        <v>1694</v>
      </c>
      <c r="J65" s="14" t="s">
        <v>1693</v>
      </c>
    </row>
    <row r="66" spans="1:10">
      <c r="A66" s="14" t="s">
        <v>307</v>
      </c>
      <c r="B66" s="14" t="s">
        <v>309</v>
      </c>
      <c r="C66" s="14" t="s">
        <v>308</v>
      </c>
      <c r="D66" s="14">
        <v>1</v>
      </c>
    </row>
    <row r="67" spans="1:10">
      <c r="A67" s="14" t="s">
        <v>307</v>
      </c>
      <c r="B67" s="175" t="s">
        <v>309</v>
      </c>
      <c r="C67" s="175" t="s">
        <v>306</v>
      </c>
      <c r="D67" s="14">
        <v>1</v>
      </c>
      <c r="E67" s="175"/>
    </row>
  </sheetData>
  <phoneticPr fontId="9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J114"/>
  <sheetViews>
    <sheetView workbookViewId="0">
      <selection activeCell="G4" sqref="G4"/>
    </sheetView>
  </sheetViews>
  <sheetFormatPr defaultColWidth="9" defaultRowHeight="39" customHeight="1"/>
  <cols>
    <col min="1" max="1" width="10.625" customWidth="1"/>
    <col min="2" max="2" width="5.25" customWidth="1"/>
    <col min="3" max="3" width="5.75" customWidth="1"/>
    <col min="4" max="4" width="44.375" customWidth="1"/>
    <col min="9" max="9" width="78.875" customWidth="1"/>
    <col min="10" max="10" width="12.5" customWidth="1"/>
  </cols>
  <sheetData>
    <row r="1" spans="1:10" ht="39" customHeight="1">
      <c r="A1" t="s">
        <v>484</v>
      </c>
      <c r="B1" t="s">
        <v>485</v>
      </c>
      <c r="C1" t="s">
        <v>486</v>
      </c>
      <c r="I1" s="11" t="s">
        <v>371</v>
      </c>
      <c r="J1" t="s">
        <v>800</v>
      </c>
    </row>
    <row r="2" spans="1:10" ht="39" customHeight="1">
      <c r="A2" s="8">
        <v>40074</v>
      </c>
      <c r="B2" t="s">
        <v>487</v>
      </c>
      <c r="C2" s="9"/>
      <c r="D2" s="10"/>
      <c r="I2" s="12" t="s">
        <v>488</v>
      </c>
      <c r="J2" t="s">
        <v>801</v>
      </c>
    </row>
    <row r="3" spans="1:10" ht="39" customHeight="1">
      <c r="C3" t="str">
        <f>TRIM(RIGHT(I3,5))</f>
        <v>9:30</v>
      </c>
      <c r="D3" s="174" t="s">
        <v>142</v>
      </c>
      <c r="E3" t="str">
        <f>MID(I3,FIND("、",I3)+1,2)</f>
        <v>小学</v>
      </c>
      <c r="F3" t="str">
        <f>MID(I3,FIND("、",I3)+3,1)</f>
        <v>女</v>
      </c>
      <c r="G3" t="str">
        <f>MID(I3,FIND("、",I3)+6,2)</f>
        <v>10</v>
      </c>
      <c r="H3">
        <v>1</v>
      </c>
      <c r="I3" s="13" t="s">
        <v>219</v>
      </c>
      <c r="J3" s="174" t="s">
        <v>802</v>
      </c>
    </row>
    <row r="4" spans="1:10" ht="39" customHeight="1">
      <c r="C4" t="str">
        <f>TRIM(RIGHT(I4,5))</f>
        <v>9:45</v>
      </c>
      <c r="D4" t="s">
        <v>154</v>
      </c>
      <c r="E4" t="str">
        <f t="shared" ref="E4:E48" si="0">MID(I4,FIND("、",I4)+1,2)</f>
        <v>小学</v>
      </c>
      <c r="F4" t="str">
        <f t="shared" ref="F4:F48" si="1">MID(I4,FIND("、",I4)+3,1)</f>
        <v>男</v>
      </c>
      <c r="G4" t="str">
        <f t="shared" ref="G4:G46" si="2">MID(I4,FIND("、",I4)+6,2)</f>
        <v>10</v>
      </c>
      <c r="H4">
        <v>1</v>
      </c>
      <c r="I4" s="13" t="s">
        <v>220</v>
      </c>
      <c r="J4" t="s">
        <v>851</v>
      </c>
    </row>
    <row r="5" spans="1:10" ht="39" customHeight="1">
      <c r="C5" t="str">
        <f>TRIM(RIGHT(I5,5))</f>
        <v>10:00</v>
      </c>
      <c r="D5" s="174" t="s">
        <v>217</v>
      </c>
      <c r="E5" t="str">
        <f t="shared" si="0"/>
        <v>初中</v>
      </c>
      <c r="F5" t="str">
        <f t="shared" si="1"/>
        <v>女</v>
      </c>
      <c r="G5" t="str">
        <f t="shared" si="2"/>
        <v>10</v>
      </c>
      <c r="H5">
        <v>1</v>
      </c>
      <c r="I5" s="13" t="s">
        <v>221</v>
      </c>
      <c r="J5" t="s">
        <v>876</v>
      </c>
    </row>
    <row r="6" spans="1:10" ht="39" customHeight="1">
      <c r="C6" t="str">
        <f t="shared" ref="C6:C56" si="3">TRIM(RIGHT(I6,5))</f>
        <v>10:10</v>
      </c>
      <c r="D6" s="174" t="s">
        <v>310</v>
      </c>
      <c r="E6" t="str">
        <f t="shared" si="0"/>
        <v>初中</v>
      </c>
      <c r="F6" t="str">
        <f t="shared" si="1"/>
        <v>男</v>
      </c>
      <c r="G6" t="str">
        <f t="shared" si="2"/>
        <v>10</v>
      </c>
      <c r="H6">
        <v>1</v>
      </c>
      <c r="I6" s="13" t="s">
        <v>222</v>
      </c>
      <c r="J6" t="s">
        <v>877</v>
      </c>
    </row>
    <row r="7" spans="1:10" ht="39" customHeight="1">
      <c r="C7" t="str">
        <f t="shared" si="3"/>
        <v>10:15</v>
      </c>
      <c r="D7" t="s">
        <v>218</v>
      </c>
      <c r="E7" t="str">
        <f t="shared" si="0"/>
        <v>高中</v>
      </c>
      <c r="F7" t="str">
        <f t="shared" si="1"/>
        <v>女</v>
      </c>
      <c r="G7" t="str">
        <f t="shared" si="2"/>
        <v>10</v>
      </c>
      <c r="H7">
        <v>1</v>
      </c>
      <c r="I7" s="13" t="s">
        <v>223</v>
      </c>
      <c r="J7" t="s">
        <v>884</v>
      </c>
    </row>
    <row r="8" spans="1:10" ht="39" customHeight="1">
      <c r="C8" t="str">
        <f t="shared" si="3"/>
        <v>10:20</v>
      </c>
      <c r="D8" s="174" t="s">
        <v>311</v>
      </c>
      <c r="E8" t="str">
        <f t="shared" si="0"/>
        <v>高中</v>
      </c>
      <c r="F8" t="str">
        <f t="shared" si="1"/>
        <v>男</v>
      </c>
      <c r="G8" t="str">
        <f t="shared" si="2"/>
        <v>10</v>
      </c>
      <c r="H8">
        <v>1</v>
      </c>
      <c r="I8" s="13" t="s">
        <v>224</v>
      </c>
      <c r="J8" t="s">
        <v>885</v>
      </c>
    </row>
    <row r="9" spans="1:10" ht="39" customHeight="1">
      <c r="C9" t="str">
        <f t="shared" si="3"/>
        <v>10:25</v>
      </c>
      <c r="D9" s="174" t="s">
        <v>155</v>
      </c>
      <c r="E9" t="str">
        <f t="shared" si="0"/>
        <v>小学</v>
      </c>
      <c r="F9" t="str">
        <f t="shared" si="1"/>
        <v>女</v>
      </c>
      <c r="G9" t="str">
        <f t="shared" si="2"/>
        <v>20</v>
      </c>
      <c r="H9">
        <v>1</v>
      </c>
      <c r="I9" s="13" t="s">
        <v>225</v>
      </c>
      <c r="J9" s="174" t="s">
        <v>890</v>
      </c>
    </row>
    <row r="10" spans="1:10" ht="39" customHeight="1">
      <c r="C10" t="str">
        <f t="shared" si="3"/>
        <v>10:40</v>
      </c>
      <c r="D10" s="174" t="s">
        <v>156</v>
      </c>
      <c r="E10" t="str">
        <f t="shared" si="0"/>
        <v>小学</v>
      </c>
      <c r="F10" t="str">
        <f t="shared" si="1"/>
        <v>男</v>
      </c>
      <c r="G10" t="str">
        <f t="shared" si="2"/>
        <v>20</v>
      </c>
      <c r="H10">
        <v>1</v>
      </c>
      <c r="I10" s="176" t="s">
        <v>226</v>
      </c>
      <c r="J10" t="s">
        <v>901</v>
      </c>
    </row>
    <row r="11" spans="1:10" ht="39" customHeight="1">
      <c r="C11" t="str">
        <f t="shared" si="3"/>
        <v>10:55</v>
      </c>
      <c r="D11" s="174" t="s">
        <v>213</v>
      </c>
      <c r="E11" t="str">
        <f t="shared" si="0"/>
        <v>初中</v>
      </c>
      <c r="F11" t="str">
        <f t="shared" si="1"/>
        <v>女</v>
      </c>
      <c r="G11" t="str">
        <f t="shared" si="2"/>
        <v>20</v>
      </c>
      <c r="H11">
        <v>1</v>
      </c>
      <c r="I11" s="13" t="s">
        <v>227</v>
      </c>
      <c r="J11" t="s">
        <v>907</v>
      </c>
    </row>
    <row r="12" spans="1:10" ht="39" customHeight="1">
      <c r="C12" t="str">
        <f t="shared" ref="C12:C20" si="4">TRIM(RIGHT(I12,5))</f>
        <v>11:00</v>
      </c>
      <c r="D12" t="s">
        <v>312</v>
      </c>
      <c r="E12" t="str">
        <f t="shared" ref="E12:E20" si="5">MID(I12,FIND("、",I12)+1,2)</f>
        <v>初中</v>
      </c>
      <c r="F12" t="str">
        <f t="shared" si="1"/>
        <v>男</v>
      </c>
      <c r="G12" t="str">
        <f t="shared" si="2"/>
        <v>20</v>
      </c>
      <c r="I12" s="176" t="s">
        <v>228</v>
      </c>
      <c r="J12" t="s">
        <v>908</v>
      </c>
    </row>
    <row r="13" spans="1:10" ht="39" customHeight="1">
      <c r="C13" t="str">
        <f t="shared" si="4"/>
        <v>11:10</v>
      </c>
      <c r="D13" s="174" t="s">
        <v>179</v>
      </c>
      <c r="E13" t="str">
        <f>MID(I13,FIND("、",I13)+1,2)</f>
        <v>高中</v>
      </c>
      <c r="F13" t="str">
        <f t="shared" si="1"/>
        <v>男</v>
      </c>
      <c r="G13" t="str">
        <f t="shared" si="2"/>
        <v>00</v>
      </c>
      <c r="I13" s="176" t="s">
        <v>229</v>
      </c>
      <c r="J13" t="s">
        <v>909</v>
      </c>
    </row>
    <row r="14" spans="1:10" ht="39" customHeight="1">
      <c r="C14" t="str">
        <f t="shared" si="4"/>
        <v>11:15</v>
      </c>
      <c r="D14" t="s">
        <v>157</v>
      </c>
      <c r="E14" t="str">
        <f t="shared" si="5"/>
        <v>小学</v>
      </c>
      <c r="F14" t="str">
        <f t="shared" si="1"/>
        <v>男</v>
      </c>
      <c r="G14" t="str">
        <f t="shared" si="2"/>
        <v>40</v>
      </c>
      <c r="I14" s="176" t="s">
        <v>230</v>
      </c>
      <c r="J14" t="s">
        <v>910</v>
      </c>
    </row>
    <row r="15" spans="1:10" ht="39" customHeight="1">
      <c r="C15" t="str">
        <f t="shared" si="4"/>
        <v>11:30</v>
      </c>
      <c r="D15" t="s">
        <v>158</v>
      </c>
      <c r="E15" t="str">
        <f t="shared" si="5"/>
        <v>小学</v>
      </c>
      <c r="F15" t="str">
        <f t="shared" si="1"/>
        <v>女</v>
      </c>
      <c r="G15" t="str">
        <f t="shared" si="2"/>
        <v>80</v>
      </c>
      <c r="I15" s="176" t="s">
        <v>349</v>
      </c>
      <c r="J15" t="s">
        <v>911</v>
      </c>
    </row>
    <row r="16" spans="1:10" ht="39" customHeight="1">
      <c r="C16" t="str">
        <f t="shared" si="4"/>
        <v>11:35</v>
      </c>
      <c r="D16" t="s">
        <v>313</v>
      </c>
      <c r="E16" t="str">
        <f t="shared" si="5"/>
        <v>高中</v>
      </c>
      <c r="F16" t="str">
        <f t="shared" si="1"/>
        <v>女</v>
      </c>
      <c r="G16" t="str">
        <f t="shared" si="2"/>
        <v>中长</v>
      </c>
      <c r="I16" s="176" t="s">
        <v>350</v>
      </c>
      <c r="J16" t="s">
        <v>912</v>
      </c>
    </row>
    <row r="17" spans="3:10" ht="39" customHeight="1">
      <c r="C17" t="str">
        <f>TRIM(RIGHT(I16,5))</f>
        <v>11:35</v>
      </c>
      <c r="D17" t="s">
        <v>313</v>
      </c>
      <c r="E17" t="str">
        <f>MID(I16,FIND("、",I16)+1,2)</f>
        <v>高中</v>
      </c>
      <c r="F17" t="str">
        <f>MID(I16,FIND("、",I16)+3,1)</f>
        <v>女</v>
      </c>
      <c r="G17" t="str">
        <f>MID(I16,FIND("、",I16)+6,2)</f>
        <v>中长</v>
      </c>
    </row>
    <row r="18" spans="3:10" ht="39" customHeight="1">
      <c r="C18" t="str">
        <f t="shared" si="4"/>
        <v/>
      </c>
      <c r="D18" t="s">
        <v>216</v>
      </c>
      <c r="E18" t="e">
        <f t="shared" si="5"/>
        <v>#VALUE!</v>
      </c>
      <c r="F18" t="e">
        <f t="shared" si="1"/>
        <v>#VALUE!</v>
      </c>
      <c r="G18" t="e">
        <f t="shared" si="2"/>
        <v>#VALUE!</v>
      </c>
      <c r="I18" s="176"/>
    </row>
    <row r="19" spans="3:10" ht="39" customHeight="1">
      <c r="C19" t="str">
        <f t="shared" si="4"/>
        <v>田　赛</v>
      </c>
      <c r="D19" t="e">
        <f>#REF!&amp;"."&amp;#REF!&amp;"子"&amp;报名汇总表!S11</f>
        <v>#REF!</v>
      </c>
      <c r="E19" t="e">
        <f t="shared" si="5"/>
        <v>#VALUE!</v>
      </c>
      <c r="F19" t="e">
        <f>MID(I19,FIND("、",I19)+3,1)</f>
        <v>#VALUE!</v>
      </c>
      <c r="G19" t="e">
        <f>MID(I19,FIND("、",I19)+6,2)</f>
        <v>#VALUE!</v>
      </c>
      <c r="I19" s="12" t="s">
        <v>434</v>
      </c>
      <c r="J19" t="s">
        <v>913</v>
      </c>
    </row>
    <row r="20" spans="3:10" ht="39" customHeight="1">
      <c r="C20" t="str">
        <f t="shared" si="4"/>
        <v>一、跳远</v>
      </c>
      <c r="E20" t="str">
        <f t="shared" si="5"/>
        <v>跳远</v>
      </c>
      <c r="F20" t="str">
        <f>MID(I20,FIND("、",I20)+3,1)</f>
        <v/>
      </c>
      <c r="G20" t="str">
        <f>MID(I20,FIND("、",I20)+6,2)</f>
        <v/>
      </c>
      <c r="I20" s="177" t="s">
        <v>355</v>
      </c>
      <c r="J20" t="s">
        <v>914</v>
      </c>
    </row>
    <row r="21" spans="3:10" ht="39" customHeight="1">
      <c r="C21" t="str">
        <f t="shared" si="3"/>
        <v>8:30</v>
      </c>
      <c r="D21" t="s">
        <v>314</v>
      </c>
      <c r="E21" t="str">
        <f t="shared" si="0"/>
        <v>高中</v>
      </c>
      <c r="F21" t="str">
        <f t="shared" si="1"/>
        <v>男</v>
      </c>
      <c r="G21" t="str">
        <f t="shared" si="2"/>
        <v>跳远</v>
      </c>
      <c r="H21">
        <v>1</v>
      </c>
      <c r="I21" s="13" t="s">
        <v>365</v>
      </c>
      <c r="J21" t="s">
        <v>915</v>
      </c>
    </row>
    <row r="22" spans="3:10" ht="39" customHeight="1">
      <c r="C22" t="str">
        <f t="shared" si="3"/>
        <v>9:00</v>
      </c>
      <c r="D22" t="s">
        <v>143</v>
      </c>
      <c r="E22" t="str">
        <f t="shared" si="0"/>
        <v>高中</v>
      </c>
      <c r="F22" t="str">
        <f t="shared" si="1"/>
        <v>女</v>
      </c>
      <c r="G22" t="str">
        <f t="shared" si="2"/>
        <v>跳远</v>
      </c>
      <c r="H22">
        <v>1</v>
      </c>
      <c r="I22" s="13" t="s">
        <v>366</v>
      </c>
      <c r="J22" t="s">
        <v>916</v>
      </c>
    </row>
    <row r="23" spans="3:10" ht="39" customHeight="1">
      <c r="C23" t="str">
        <f t="shared" si="3"/>
        <v>9:15</v>
      </c>
      <c r="D23" t="s">
        <v>180</v>
      </c>
      <c r="E23" t="str">
        <f t="shared" si="0"/>
        <v>小学</v>
      </c>
      <c r="F23" t="str">
        <f t="shared" si="1"/>
        <v>男</v>
      </c>
      <c r="G23" t="str">
        <f t="shared" si="2"/>
        <v>跳远</v>
      </c>
      <c r="H23">
        <v>1</v>
      </c>
      <c r="I23" s="13" t="s">
        <v>367</v>
      </c>
      <c r="J23" t="s">
        <v>917</v>
      </c>
    </row>
    <row r="24" spans="3:10" ht="39" customHeight="1">
      <c r="C24" t="str">
        <f t="shared" si="3"/>
        <v>10:00</v>
      </c>
      <c r="D24" t="s">
        <v>144</v>
      </c>
      <c r="E24" t="str">
        <f t="shared" si="0"/>
        <v>小学</v>
      </c>
      <c r="F24" t="str">
        <f t="shared" si="1"/>
        <v>女</v>
      </c>
      <c r="G24" t="str">
        <f t="shared" si="2"/>
        <v>跳远</v>
      </c>
      <c r="H24">
        <v>1</v>
      </c>
      <c r="I24" s="13" t="s">
        <v>368</v>
      </c>
      <c r="J24" t="s">
        <v>918</v>
      </c>
    </row>
    <row r="25" spans="3:10" ht="39" customHeight="1">
      <c r="C25" t="str">
        <f>TRIM(RIGHT(I25,5))</f>
        <v>二、跳高</v>
      </c>
      <c r="E25" t="str">
        <f t="shared" si="0"/>
        <v>跳高</v>
      </c>
      <c r="F25" t="str">
        <f t="shared" si="1"/>
        <v/>
      </c>
      <c r="G25" t="str">
        <f t="shared" si="2"/>
        <v/>
      </c>
      <c r="I25" s="13" t="s">
        <v>356</v>
      </c>
      <c r="J25" t="s">
        <v>919</v>
      </c>
    </row>
    <row r="26" spans="3:10" ht="39" customHeight="1">
      <c r="C26" t="str">
        <f t="shared" si="3"/>
        <v>8:30</v>
      </c>
      <c r="D26" t="s">
        <v>145</v>
      </c>
      <c r="E26" t="str">
        <f t="shared" si="0"/>
        <v>小学</v>
      </c>
      <c r="F26" t="str">
        <f t="shared" si="1"/>
        <v>女</v>
      </c>
      <c r="G26" t="str">
        <f t="shared" si="2"/>
        <v>跳高</v>
      </c>
      <c r="H26">
        <v>1</v>
      </c>
      <c r="I26" s="13" t="s">
        <v>520</v>
      </c>
      <c r="J26" t="s">
        <v>920</v>
      </c>
    </row>
    <row r="27" spans="3:10" ht="39" customHeight="1">
      <c r="C27" t="str">
        <f t="shared" si="3"/>
        <v>10:30</v>
      </c>
      <c r="D27" t="s">
        <v>315</v>
      </c>
      <c r="E27" t="str">
        <f t="shared" si="0"/>
        <v>初中</v>
      </c>
      <c r="F27" t="str">
        <f t="shared" si="1"/>
        <v>男</v>
      </c>
      <c r="G27" t="str">
        <f t="shared" si="2"/>
        <v>跳高</v>
      </c>
      <c r="H27">
        <v>1</v>
      </c>
      <c r="I27" s="13" t="s">
        <v>522</v>
      </c>
      <c r="J27" t="s">
        <v>921</v>
      </c>
    </row>
    <row r="28" spans="3:10" ht="39" customHeight="1">
      <c r="C28" t="str">
        <f>TRIM(RIGHT(I28,5))</f>
        <v>三、投掷</v>
      </c>
      <c r="E28" t="str">
        <f t="shared" si="0"/>
        <v>投掷</v>
      </c>
      <c r="F28" t="str">
        <f t="shared" si="1"/>
        <v/>
      </c>
      <c r="G28" t="str">
        <f t="shared" si="2"/>
        <v/>
      </c>
      <c r="I28" s="13" t="s">
        <v>357</v>
      </c>
      <c r="J28" t="s">
        <v>922</v>
      </c>
    </row>
    <row r="29" spans="3:10" ht="39" customHeight="1">
      <c r="C29" t="str">
        <f t="shared" si="3"/>
        <v>8:30</v>
      </c>
      <c r="D29" t="s">
        <v>146</v>
      </c>
      <c r="E29" t="str">
        <f t="shared" si="0"/>
        <v>小学</v>
      </c>
      <c r="F29" t="str">
        <f t="shared" si="1"/>
        <v>男</v>
      </c>
      <c r="G29" t="str">
        <f t="shared" si="2"/>
        <v>垒球</v>
      </c>
      <c r="H29">
        <v>1</v>
      </c>
      <c r="I29" s="13" t="s">
        <v>369</v>
      </c>
      <c r="J29" t="s">
        <v>923</v>
      </c>
    </row>
    <row r="30" spans="3:10" ht="39" customHeight="1">
      <c r="C30" t="str">
        <f t="shared" si="3"/>
        <v>9:25</v>
      </c>
      <c r="D30" t="s">
        <v>316</v>
      </c>
      <c r="E30" t="str">
        <f t="shared" si="0"/>
        <v>小学</v>
      </c>
      <c r="F30" t="str">
        <f t="shared" si="1"/>
        <v>女</v>
      </c>
      <c r="G30" t="str">
        <f t="shared" si="2"/>
        <v>垒球</v>
      </c>
      <c r="I30" s="13" t="s">
        <v>370</v>
      </c>
      <c r="J30" t="s">
        <v>924</v>
      </c>
    </row>
    <row r="31" spans="3:10" ht="39" customHeight="1">
      <c r="C31" t="str">
        <f t="shared" si="3"/>
        <v>10:20</v>
      </c>
      <c r="D31" t="s">
        <v>209</v>
      </c>
      <c r="E31" t="str">
        <f t="shared" si="0"/>
        <v>高中</v>
      </c>
      <c r="F31" t="str">
        <f t="shared" si="1"/>
        <v>女</v>
      </c>
      <c r="G31" t="str">
        <f t="shared" si="2"/>
        <v>铅球</v>
      </c>
      <c r="I31" s="13" t="s">
        <v>521</v>
      </c>
      <c r="J31" t="s">
        <v>925</v>
      </c>
    </row>
    <row r="32" spans="3:10" ht="39" customHeight="1">
      <c r="C32" t="str">
        <f t="shared" si="3"/>
        <v>10:45</v>
      </c>
      <c r="D32" t="s">
        <v>317</v>
      </c>
      <c r="E32" t="str">
        <f t="shared" si="0"/>
        <v>高中</v>
      </c>
      <c r="F32" t="str">
        <f t="shared" si="1"/>
        <v>男</v>
      </c>
      <c r="G32" t="str">
        <f t="shared" si="2"/>
        <v>铅球</v>
      </c>
      <c r="I32" s="13" t="s">
        <v>523</v>
      </c>
      <c r="J32" t="s">
        <v>927</v>
      </c>
    </row>
    <row r="33" spans="3:10" ht="39" customHeight="1">
      <c r="I33" s="13"/>
    </row>
    <row r="34" spans="3:10" ht="39" customHeight="1">
      <c r="C34" t="str">
        <f t="shared" si="3"/>
        <v>午2:30</v>
      </c>
      <c r="E34" t="e">
        <f t="shared" si="0"/>
        <v>#VALUE!</v>
      </c>
      <c r="F34" t="e">
        <f t="shared" si="1"/>
        <v>#VALUE!</v>
      </c>
      <c r="G34" t="e">
        <f t="shared" si="2"/>
        <v>#VALUE!</v>
      </c>
      <c r="I34" s="11" t="s">
        <v>241</v>
      </c>
      <c r="J34" t="s">
        <v>928</v>
      </c>
    </row>
    <row r="35" spans="3:10" ht="39" customHeight="1">
      <c r="C35" t="str">
        <f t="shared" si="3"/>
        <v>径　赛</v>
      </c>
      <c r="E35" t="e">
        <f t="shared" si="0"/>
        <v>#VALUE!</v>
      </c>
      <c r="F35" t="e">
        <f t="shared" si="1"/>
        <v>#VALUE!</v>
      </c>
      <c r="G35" t="e">
        <f t="shared" si="2"/>
        <v>#VALUE!</v>
      </c>
      <c r="I35" s="12" t="s">
        <v>488</v>
      </c>
      <c r="J35" t="s">
        <v>801</v>
      </c>
    </row>
    <row r="36" spans="3:10" ht="39" customHeight="1">
      <c r="C36" t="str">
        <f t="shared" si="3"/>
        <v>2:30</v>
      </c>
      <c r="E36" t="e">
        <f t="shared" si="0"/>
        <v>#VALUE!</v>
      </c>
      <c r="F36" t="e">
        <f t="shared" si="1"/>
        <v>#VALUE!</v>
      </c>
      <c r="G36" t="e">
        <f t="shared" si="2"/>
        <v>#VALUE!</v>
      </c>
      <c r="I36" s="178" t="s">
        <v>199</v>
      </c>
      <c r="J36" t="s">
        <v>930</v>
      </c>
    </row>
    <row r="37" spans="3:10" ht="39" customHeight="1">
      <c r="C37" t="str">
        <f t="shared" si="3"/>
        <v>2:35</v>
      </c>
      <c r="E37" t="e">
        <f t="shared" si="0"/>
        <v>#VALUE!</v>
      </c>
      <c r="F37" t="e">
        <f t="shared" si="1"/>
        <v>#VALUE!</v>
      </c>
      <c r="G37" t="e">
        <f t="shared" si="2"/>
        <v>#VALUE!</v>
      </c>
      <c r="I37" s="178" t="s">
        <v>200</v>
      </c>
      <c r="J37" t="s">
        <v>931</v>
      </c>
    </row>
    <row r="38" spans="3:10" ht="39" customHeight="1">
      <c r="C38" t="str">
        <f t="shared" si="3"/>
        <v>2:40</v>
      </c>
      <c r="E38" t="e">
        <f t="shared" si="0"/>
        <v>#VALUE!</v>
      </c>
      <c r="F38" t="e">
        <f t="shared" si="1"/>
        <v>#VALUE!</v>
      </c>
      <c r="G38" t="e">
        <f t="shared" si="2"/>
        <v>#VALUE!</v>
      </c>
      <c r="I38" s="178" t="s">
        <v>201</v>
      </c>
      <c r="J38" t="s">
        <v>932</v>
      </c>
    </row>
    <row r="39" spans="3:10" ht="39" customHeight="1">
      <c r="C39" t="str">
        <f t="shared" si="3"/>
        <v>2:45</v>
      </c>
      <c r="E39" t="e">
        <f t="shared" si="0"/>
        <v>#VALUE!</v>
      </c>
      <c r="F39" t="e">
        <f t="shared" si="1"/>
        <v>#VALUE!</v>
      </c>
      <c r="G39" t="e">
        <f t="shared" si="2"/>
        <v>#VALUE!</v>
      </c>
      <c r="I39" s="178" t="s">
        <v>202</v>
      </c>
      <c r="J39" t="s">
        <v>933</v>
      </c>
    </row>
    <row r="40" spans="3:10" ht="39" customHeight="1">
      <c r="C40" t="str">
        <f t="shared" si="3"/>
        <v>2:50</v>
      </c>
      <c r="D40" t="s">
        <v>318</v>
      </c>
      <c r="E40" t="str">
        <f t="shared" si="0"/>
        <v>高中</v>
      </c>
      <c r="F40" t="str">
        <f t="shared" si="1"/>
        <v>男</v>
      </c>
      <c r="G40" t="str">
        <f t="shared" si="2"/>
        <v>20</v>
      </c>
      <c r="H40">
        <v>1</v>
      </c>
      <c r="I40" s="13" t="s">
        <v>358</v>
      </c>
      <c r="J40" t="s">
        <v>934</v>
      </c>
    </row>
    <row r="41" spans="3:10" ht="39" customHeight="1">
      <c r="C41" t="str">
        <f t="shared" si="3"/>
        <v>2:55</v>
      </c>
      <c r="E41" t="e">
        <f t="shared" si="0"/>
        <v>#VALUE!</v>
      </c>
      <c r="F41" t="e">
        <f t="shared" si="1"/>
        <v>#VALUE!</v>
      </c>
      <c r="G41" t="e">
        <f t="shared" si="2"/>
        <v>#VALUE!</v>
      </c>
      <c r="I41" s="13" t="s">
        <v>203</v>
      </c>
      <c r="J41" t="s">
        <v>936</v>
      </c>
    </row>
    <row r="42" spans="3:10" ht="39" customHeight="1">
      <c r="C42" t="str">
        <f t="shared" si="3"/>
        <v>3:00</v>
      </c>
      <c r="E42" t="e">
        <f t="shared" si="0"/>
        <v>#VALUE!</v>
      </c>
      <c r="F42" t="e">
        <f t="shared" si="1"/>
        <v>#VALUE!</v>
      </c>
      <c r="G42" t="e">
        <f t="shared" si="2"/>
        <v>#VALUE!</v>
      </c>
      <c r="I42" s="13" t="s">
        <v>204</v>
      </c>
      <c r="J42" t="s">
        <v>938</v>
      </c>
    </row>
    <row r="43" spans="3:10" ht="39" customHeight="1">
      <c r="C43" t="str">
        <f t="shared" si="3"/>
        <v>3:05</v>
      </c>
      <c r="E43" t="e">
        <f t="shared" si="0"/>
        <v>#VALUE!</v>
      </c>
      <c r="F43" t="e">
        <f t="shared" si="1"/>
        <v>#VALUE!</v>
      </c>
      <c r="G43" t="e">
        <f t="shared" si="2"/>
        <v>#VALUE!</v>
      </c>
      <c r="I43" s="13" t="s">
        <v>205</v>
      </c>
      <c r="J43" t="s">
        <v>940</v>
      </c>
    </row>
    <row r="44" spans="3:10" ht="39" customHeight="1">
      <c r="C44" t="str">
        <f t="shared" si="3"/>
        <v>3:10</v>
      </c>
      <c r="E44" t="e">
        <f t="shared" si="0"/>
        <v>#VALUE!</v>
      </c>
      <c r="F44" t="e">
        <f t="shared" si="1"/>
        <v>#VALUE!</v>
      </c>
      <c r="G44" t="e">
        <f t="shared" si="2"/>
        <v>#VALUE!</v>
      </c>
      <c r="I44" s="13" t="s">
        <v>206</v>
      </c>
      <c r="J44" t="s">
        <v>941</v>
      </c>
    </row>
    <row r="45" spans="3:10" ht="39" customHeight="1">
      <c r="C45" t="str">
        <f t="shared" si="3"/>
        <v>3:15</v>
      </c>
      <c r="D45" t="s">
        <v>210</v>
      </c>
      <c r="E45" t="str">
        <f t="shared" si="0"/>
        <v>高中</v>
      </c>
      <c r="F45" t="str">
        <f t="shared" si="1"/>
        <v>女</v>
      </c>
      <c r="G45" t="str">
        <f t="shared" si="2"/>
        <v>40</v>
      </c>
      <c r="H45">
        <v>1</v>
      </c>
      <c r="I45" s="13" t="s">
        <v>361</v>
      </c>
      <c r="J45" t="s">
        <v>942</v>
      </c>
    </row>
    <row r="46" spans="3:10" ht="39" customHeight="1">
      <c r="C46" t="str">
        <f t="shared" si="3"/>
        <v>3:20</v>
      </c>
      <c r="D46" t="s">
        <v>159</v>
      </c>
      <c r="E46" t="str">
        <f t="shared" si="0"/>
        <v>小学</v>
      </c>
      <c r="F46" t="str">
        <f t="shared" si="1"/>
        <v>男</v>
      </c>
      <c r="G46" t="str">
        <f t="shared" si="2"/>
        <v>80</v>
      </c>
      <c r="I46" s="13" t="s">
        <v>362</v>
      </c>
      <c r="J46" t="s">
        <v>943</v>
      </c>
    </row>
    <row r="47" spans="3:10" ht="39" customHeight="1">
      <c r="C47" t="str">
        <f t="shared" si="3"/>
        <v>3:30</v>
      </c>
      <c r="D47" t="s">
        <v>319</v>
      </c>
      <c r="E47" t="str">
        <f t="shared" si="0"/>
        <v>高中</v>
      </c>
      <c r="F47" t="str">
        <f t="shared" si="1"/>
        <v>男</v>
      </c>
      <c r="G47" t="str">
        <f>MID(I47,FIND("、",I47)+6,2)</f>
        <v>中长</v>
      </c>
      <c r="I47" s="13" t="s">
        <v>359</v>
      </c>
      <c r="J47" t="s">
        <v>944</v>
      </c>
    </row>
    <row r="48" spans="3:10" ht="39" customHeight="1">
      <c r="C48" t="str">
        <f t="shared" si="3"/>
        <v>3:40</v>
      </c>
      <c r="E48" t="str">
        <f t="shared" si="0"/>
        <v>小学</v>
      </c>
      <c r="F48" t="str">
        <f t="shared" si="1"/>
        <v>组</v>
      </c>
      <c r="G48" t="str">
        <f>MID(I48,FIND("、",I48)+6,2)</f>
        <v>10</v>
      </c>
      <c r="I48" s="13" t="s">
        <v>360</v>
      </c>
      <c r="J48" t="s">
        <v>945</v>
      </c>
    </row>
    <row r="49" spans="3:10" ht="39" customHeight="1">
      <c r="C49" t="str">
        <f t="shared" si="3"/>
        <v>田　赛</v>
      </c>
      <c r="E49" t="e">
        <f t="shared" ref="E49:E114" si="6">MID(I49,FIND("、",I49)+1,2)</f>
        <v>#VALUE!</v>
      </c>
      <c r="F49" t="e">
        <f t="shared" ref="F49:F114" si="7">MID(I49,FIND("、",I49)+3,1)</f>
        <v>#VALUE!</v>
      </c>
      <c r="G49" t="e">
        <f t="shared" ref="G49:G114" si="8">MID(I49,FIND("、",I49)+6,2)</f>
        <v>#VALUE!</v>
      </c>
      <c r="I49" s="12" t="s">
        <v>434</v>
      </c>
      <c r="J49" t="s">
        <v>913</v>
      </c>
    </row>
    <row r="50" spans="3:10" ht="39" customHeight="1">
      <c r="C50" t="str">
        <f t="shared" si="3"/>
        <v>一、跳远</v>
      </c>
      <c r="E50" t="str">
        <f t="shared" si="6"/>
        <v>跳远</v>
      </c>
      <c r="F50" t="str">
        <f t="shared" si="7"/>
        <v/>
      </c>
      <c r="G50" t="str">
        <f t="shared" si="8"/>
        <v/>
      </c>
      <c r="I50" s="178" t="s">
        <v>207</v>
      </c>
      <c r="J50" t="s">
        <v>914</v>
      </c>
    </row>
    <row r="51" spans="3:10" ht="39" customHeight="1">
      <c r="C51" t="str">
        <f t="shared" si="3"/>
        <v>2:30</v>
      </c>
      <c r="D51" t="s">
        <v>320</v>
      </c>
      <c r="E51" t="str">
        <f t="shared" si="6"/>
        <v>初中</v>
      </c>
      <c r="F51" t="str">
        <f t="shared" si="7"/>
        <v>女</v>
      </c>
      <c r="G51" t="str">
        <f t="shared" si="8"/>
        <v>跳远</v>
      </c>
      <c r="H51">
        <v>1</v>
      </c>
      <c r="I51" s="13" t="s">
        <v>524</v>
      </c>
      <c r="J51" t="s">
        <v>946</v>
      </c>
    </row>
    <row r="52" spans="3:10" ht="39" customHeight="1">
      <c r="C52" t="str">
        <f t="shared" si="3"/>
        <v>3:05</v>
      </c>
      <c r="D52" t="s">
        <v>211</v>
      </c>
      <c r="E52" t="str">
        <f t="shared" si="6"/>
        <v>高中</v>
      </c>
      <c r="F52" t="str">
        <f t="shared" si="7"/>
        <v>女</v>
      </c>
      <c r="G52" t="str">
        <f t="shared" si="8"/>
        <v>三级</v>
      </c>
      <c r="H52">
        <v>1</v>
      </c>
      <c r="I52" s="13" t="s">
        <v>298</v>
      </c>
      <c r="J52" t="s">
        <v>947</v>
      </c>
    </row>
    <row r="53" spans="3:10" ht="39" customHeight="1">
      <c r="C53" t="str">
        <f t="shared" si="3"/>
        <v>二、跳高</v>
      </c>
      <c r="E53" t="str">
        <f t="shared" si="6"/>
        <v>跳高</v>
      </c>
      <c r="F53" t="str">
        <f t="shared" si="7"/>
        <v/>
      </c>
      <c r="G53" t="str">
        <f t="shared" si="8"/>
        <v/>
      </c>
      <c r="I53" s="13" t="s">
        <v>356</v>
      </c>
      <c r="J53" t="s">
        <v>919</v>
      </c>
    </row>
    <row r="54" spans="3:10" ht="39" customHeight="1">
      <c r="C54" t="str">
        <f t="shared" si="3"/>
        <v>2:30</v>
      </c>
      <c r="D54" t="s">
        <v>182</v>
      </c>
      <c r="E54" t="str">
        <f t="shared" si="6"/>
        <v>小学</v>
      </c>
      <c r="F54" t="str">
        <f t="shared" si="7"/>
        <v>男</v>
      </c>
      <c r="G54" t="str">
        <f t="shared" si="8"/>
        <v>跳高</v>
      </c>
      <c r="H54">
        <v>1</v>
      </c>
      <c r="I54" s="13" t="s">
        <v>240</v>
      </c>
      <c r="J54" t="s">
        <v>948</v>
      </c>
    </row>
    <row r="55" spans="3:10" ht="39" customHeight="1">
      <c r="C55" t="str">
        <f t="shared" si="3"/>
        <v>4:30</v>
      </c>
      <c r="D55" t="s">
        <v>183</v>
      </c>
      <c r="E55" t="str">
        <f t="shared" si="6"/>
        <v>初中</v>
      </c>
      <c r="F55" t="str">
        <f t="shared" si="7"/>
        <v>女</v>
      </c>
      <c r="G55" t="str">
        <f t="shared" si="8"/>
        <v>跳高</v>
      </c>
      <c r="H55">
        <v>1</v>
      </c>
      <c r="I55" s="13" t="s">
        <v>525</v>
      </c>
      <c r="J55" t="s">
        <v>949</v>
      </c>
    </row>
    <row r="56" spans="3:10" ht="39" customHeight="1">
      <c r="C56" t="str">
        <f t="shared" si="3"/>
        <v>三、投掷</v>
      </c>
      <c r="E56" t="str">
        <f t="shared" si="6"/>
        <v>投掷</v>
      </c>
      <c r="F56" t="str">
        <f t="shared" si="7"/>
        <v/>
      </c>
      <c r="G56" t="str">
        <f t="shared" si="8"/>
        <v/>
      </c>
      <c r="I56" s="13" t="s">
        <v>357</v>
      </c>
      <c r="J56" t="s">
        <v>922</v>
      </c>
    </row>
    <row r="57" spans="3:10" ht="39" customHeight="1">
      <c r="C57" t="str">
        <f t="shared" ref="C57:C103" si="9">TRIM(RIGHT(I57,5))</f>
        <v>2:30</v>
      </c>
      <c r="D57" t="s">
        <v>160</v>
      </c>
      <c r="E57" t="str">
        <f t="shared" si="6"/>
        <v>小学</v>
      </c>
      <c r="F57" t="str">
        <f t="shared" si="7"/>
        <v>男</v>
      </c>
      <c r="G57" t="str">
        <f t="shared" si="8"/>
        <v>实心</v>
      </c>
      <c r="H57">
        <v>1</v>
      </c>
      <c r="I57" s="13" t="s">
        <v>236</v>
      </c>
      <c r="J57" t="s">
        <v>950</v>
      </c>
    </row>
    <row r="58" spans="3:10" ht="39" customHeight="1">
      <c r="C58" t="str">
        <f t="shared" si="9"/>
        <v>3:25</v>
      </c>
      <c r="D58" t="s">
        <v>212</v>
      </c>
      <c r="E58" t="str">
        <f t="shared" si="6"/>
        <v>小学</v>
      </c>
      <c r="F58" t="str">
        <f t="shared" si="7"/>
        <v>女</v>
      </c>
      <c r="G58" t="str">
        <f t="shared" si="8"/>
        <v>实心</v>
      </c>
      <c r="H58">
        <v>1</v>
      </c>
      <c r="I58" s="13" t="s">
        <v>237</v>
      </c>
      <c r="J58" t="s">
        <v>951</v>
      </c>
    </row>
    <row r="59" spans="3:10" ht="39" customHeight="1">
      <c r="C59" t="str">
        <f t="shared" si="9"/>
        <v>4:15</v>
      </c>
      <c r="D59" t="s">
        <v>321</v>
      </c>
      <c r="E59" t="str">
        <f t="shared" si="6"/>
        <v>初中</v>
      </c>
      <c r="F59" t="str">
        <f t="shared" si="7"/>
        <v>男</v>
      </c>
      <c r="G59" t="str">
        <f t="shared" si="8"/>
        <v>实心</v>
      </c>
      <c r="H59">
        <v>1</v>
      </c>
      <c r="I59" s="13" t="s">
        <v>238</v>
      </c>
      <c r="J59" t="s">
        <v>952</v>
      </c>
    </row>
    <row r="60" spans="3:10" ht="39" customHeight="1">
      <c r="C60" t="str">
        <f t="shared" si="9"/>
        <v>4:50</v>
      </c>
      <c r="D60" t="s">
        <v>184</v>
      </c>
      <c r="E60" t="str">
        <f t="shared" si="6"/>
        <v>初中</v>
      </c>
      <c r="F60" t="str">
        <f t="shared" si="7"/>
        <v>女</v>
      </c>
      <c r="G60" t="str">
        <f t="shared" si="8"/>
        <v>实心</v>
      </c>
      <c r="H60">
        <v>1</v>
      </c>
      <c r="I60" s="13" t="s">
        <v>239</v>
      </c>
      <c r="J60" t="s">
        <v>953</v>
      </c>
    </row>
    <row r="61" spans="3:10" ht="39" customHeight="1">
      <c r="C61" t="str">
        <f t="shared" si="9"/>
        <v>午8:30</v>
      </c>
      <c r="E61" t="e">
        <f t="shared" si="6"/>
        <v>#VALUE!</v>
      </c>
      <c r="F61" t="e">
        <f t="shared" si="7"/>
        <v>#VALUE!</v>
      </c>
      <c r="G61" t="e">
        <f t="shared" si="8"/>
        <v>#VALUE!</v>
      </c>
      <c r="I61" s="11" t="s">
        <v>354</v>
      </c>
      <c r="J61" t="s">
        <v>954</v>
      </c>
    </row>
    <row r="62" spans="3:10" ht="39" customHeight="1">
      <c r="C62" t="str">
        <f t="shared" si="9"/>
        <v>径　赛</v>
      </c>
      <c r="E62" t="e">
        <f t="shared" si="6"/>
        <v>#VALUE!</v>
      </c>
      <c r="F62" t="e">
        <f t="shared" si="7"/>
        <v>#VALUE!</v>
      </c>
      <c r="G62" t="e">
        <f t="shared" si="8"/>
        <v>#VALUE!</v>
      </c>
      <c r="I62" s="12" t="s">
        <v>161</v>
      </c>
      <c r="J62" t="s">
        <v>801</v>
      </c>
    </row>
    <row r="63" spans="3:10" ht="39" customHeight="1">
      <c r="C63" t="str">
        <f t="shared" si="9"/>
        <v>8:30</v>
      </c>
      <c r="E63" t="e">
        <f t="shared" si="6"/>
        <v>#VALUE!</v>
      </c>
      <c r="F63" t="e">
        <f t="shared" si="7"/>
        <v>#VALUE!</v>
      </c>
      <c r="G63" t="e">
        <f t="shared" si="8"/>
        <v>#VALUE!</v>
      </c>
      <c r="I63" s="178" t="s">
        <v>208</v>
      </c>
      <c r="J63" t="s">
        <v>955</v>
      </c>
    </row>
    <row r="64" spans="3:10" ht="39" customHeight="1">
      <c r="C64" t="str">
        <f t="shared" si="9"/>
        <v>8:35</v>
      </c>
      <c r="E64" t="e">
        <f t="shared" si="6"/>
        <v>#VALUE!</v>
      </c>
      <c r="F64" t="e">
        <f t="shared" si="7"/>
        <v>#VALUE!</v>
      </c>
      <c r="G64" t="e">
        <f t="shared" si="8"/>
        <v>#VALUE!</v>
      </c>
      <c r="I64" s="178" t="s">
        <v>233</v>
      </c>
      <c r="J64" t="s">
        <v>957</v>
      </c>
    </row>
    <row r="65" spans="3:10" ht="39" customHeight="1">
      <c r="C65" t="str">
        <f t="shared" si="9"/>
        <v>8:40</v>
      </c>
      <c r="E65" t="e">
        <f t="shared" si="6"/>
        <v>#VALUE!</v>
      </c>
      <c r="F65" t="e">
        <f t="shared" si="7"/>
        <v>#VALUE!</v>
      </c>
      <c r="G65" t="e">
        <f t="shared" si="8"/>
        <v>#VALUE!</v>
      </c>
      <c r="I65" s="178" t="s">
        <v>234</v>
      </c>
      <c r="J65" t="s">
        <v>958</v>
      </c>
    </row>
    <row r="66" spans="3:10" ht="39" customHeight="1">
      <c r="C66" t="str">
        <f t="shared" si="9"/>
        <v>8:45</v>
      </c>
      <c r="E66" t="e">
        <f t="shared" si="6"/>
        <v>#VALUE!</v>
      </c>
      <c r="F66" t="e">
        <f t="shared" si="7"/>
        <v>#VALUE!</v>
      </c>
      <c r="G66" t="e">
        <f t="shared" si="8"/>
        <v>#VALUE!</v>
      </c>
      <c r="I66" s="178" t="s">
        <v>235</v>
      </c>
      <c r="J66" t="s">
        <v>959</v>
      </c>
    </row>
    <row r="67" spans="3:10" ht="39" customHeight="1">
      <c r="C67" t="str">
        <f t="shared" si="9"/>
        <v>8:50</v>
      </c>
      <c r="D67" t="s">
        <v>213</v>
      </c>
      <c r="E67" t="str">
        <f t="shared" si="6"/>
        <v>高中</v>
      </c>
      <c r="F67" t="str">
        <f t="shared" si="7"/>
        <v>女</v>
      </c>
      <c r="G67" t="str">
        <f t="shared" si="8"/>
        <v>20</v>
      </c>
      <c r="I67" s="13" t="s">
        <v>242</v>
      </c>
      <c r="J67" t="s">
        <v>960</v>
      </c>
    </row>
    <row r="68" spans="3:10" ht="39" customHeight="1">
      <c r="C68" t="str">
        <f t="shared" si="9"/>
        <v>8:55</v>
      </c>
      <c r="D68" t="s">
        <v>372</v>
      </c>
      <c r="E68" t="str">
        <f t="shared" si="6"/>
        <v>高中</v>
      </c>
      <c r="F68" t="str">
        <f t="shared" si="7"/>
        <v>男</v>
      </c>
      <c r="G68" t="str">
        <f t="shared" si="8"/>
        <v>40</v>
      </c>
      <c r="I68" s="13" t="s">
        <v>243</v>
      </c>
      <c r="J68" t="s">
        <v>962</v>
      </c>
    </row>
    <row r="69" spans="3:10" ht="39" customHeight="1">
      <c r="C69" t="str">
        <f t="shared" si="9"/>
        <v>9:00</v>
      </c>
      <c r="D69" t="s">
        <v>214</v>
      </c>
      <c r="E69" t="str">
        <f t="shared" si="6"/>
        <v>初中</v>
      </c>
      <c r="F69" t="str">
        <f t="shared" si="7"/>
        <v>女</v>
      </c>
      <c r="G69" t="str">
        <f t="shared" si="8"/>
        <v>中长</v>
      </c>
      <c r="I69" s="13" t="s">
        <v>244</v>
      </c>
      <c r="J69" t="s">
        <v>963</v>
      </c>
    </row>
    <row r="70" spans="3:10" ht="39" customHeight="1">
      <c r="C70" t="str">
        <f t="shared" si="9"/>
        <v>9:10</v>
      </c>
      <c r="D70" t="s">
        <v>322</v>
      </c>
      <c r="E70" t="str">
        <f t="shared" si="6"/>
        <v>初中</v>
      </c>
      <c r="F70" t="str">
        <f t="shared" si="7"/>
        <v>男</v>
      </c>
      <c r="G70" t="str">
        <f t="shared" si="8"/>
        <v>中长</v>
      </c>
      <c r="I70" s="13" t="s">
        <v>245</v>
      </c>
      <c r="J70" t="s">
        <v>964</v>
      </c>
    </row>
    <row r="71" spans="3:10" ht="39" customHeight="1">
      <c r="C71" t="e">
        <f>TRIM(RIGHT(#REF!,5))</f>
        <v>#REF!</v>
      </c>
      <c r="D71" s="174" t="s">
        <v>423</v>
      </c>
      <c r="E71" t="e">
        <f>MID(#REF!,FIND("、",#REF!)+1,2)</f>
        <v>#REF!</v>
      </c>
      <c r="F71" t="e">
        <f>MID(#REF!,FIND("、",#REF!)+3,1)</f>
        <v>#REF!</v>
      </c>
      <c r="G71" t="e">
        <f>MID(#REF!,FIND("、",#REF!)+6,2)</f>
        <v>#REF!</v>
      </c>
      <c r="I71" s="13" t="s">
        <v>195</v>
      </c>
      <c r="J71" t="s">
        <v>965</v>
      </c>
    </row>
    <row r="72" spans="3:10" ht="39" customHeight="1">
      <c r="C72" t="e">
        <f>TRIM(RIGHT(#REF!,5))</f>
        <v>#REF!</v>
      </c>
      <c r="D72" t="s">
        <v>372</v>
      </c>
      <c r="E72" t="e">
        <f>MID(#REF!,FIND("、",#REF!)+1,2)</f>
        <v>#REF!</v>
      </c>
      <c r="F72" t="e">
        <f>MID(#REF!,FIND("、",#REF!)+3,1)</f>
        <v>#REF!</v>
      </c>
      <c r="G72" t="e">
        <f>MID(#REF!,FIND("、",#REF!)+6,2)</f>
        <v>#REF!</v>
      </c>
      <c r="H72">
        <v>1</v>
      </c>
      <c r="I72" s="13" t="s">
        <v>246</v>
      </c>
      <c r="J72" t="s">
        <v>966</v>
      </c>
    </row>
    <row r="73" spans="3:10" ht="39" customHeight="1">
      <c r="C73" t="e">
        <f>TRIM(RIGHT(#REF!,5))</f>
        <v>#REF!</v>
      </c>
      <c r="D73" t="s">
        <v>364</v>
      </c>
      <c r="E73" t="e">
        <f>MID(#REF!,FIND("、",#REF!)+1,2)</f>
        <v>#REF!</v>
      </c>
      <c r="F73" t="e">
        <f>MID(#REF!,FIND("、",#REF!)+3,1)</f>
        <v>#REF!</v>
      </c>
      <c r="G73" t="e">
        <f>MID(#REF!,FIND("、",#REF!)+6,2)</f>
        <v>#REF!</v>
      </c>
      <c r="H73">
        <v>1</v>
      </c>
      <c r="I73" s="13" t="s">
        <v>297</v>
      </c>
      <c r="J73" t="s">
        <v>967</v>
      </c>
    </row>
    <row r="74" spans="3:10" ht="39" customHeight="1">
      <c r="C74" t="str">
        <f t="shared" si="9"/>
        <v/>
      </c>
      <c r="D74" t="s">
        <v>363</v>
      </c>
      <c r="E74" t="e">
        <f t="shared" si="6"/>
        <v>#VALUE!</v>
      </c>
      <c r="F74" t="e">
        <f t="shared" si="7"/>
        <v>#VALUE!</v>
      </c>
      <c r="G74" t="e">
        <f t="shared" si="8"/>
        <v>#VALUE!</v>
      </c>
      <c r="I74" s="13"/>
    </row>
    <row r="75" spans="3:10" ht="39" customHeight="1">
      <c r="C75" t="str">
        <f t="shared" si="9"/>
        <v>田　赛</v>
      </c>
      <c r="E75" t="e">
        <f t="shared" si="6"/>
        <v>#VALUE!</v>
      </c>
      <c r="F75" t="e">
        <f t="shared" si="7"/>
        <v>#VALUE!</v>
      </c>
      <c r="G75" t="e">
        <f t="shared" si="8"/>
        <v>#VALUE!</v>
      </c>
      <c r="I75" s="12" t="s">
        <v>434</v>
      </c>
      <c r="J75" t="s">
        <v>913</v>
      </c>
    </row>
    <row r="76" spans="3:10" ht="39" customHeight="1">
      <c r="C76" t="str">
        <f>TRIM(RIGHT(I76,5))</f>
        <v>一、跳远</v>
      </c>
      <c r="I76" s="178" t="s">
        <v>207</v>
      </c>
      <c r="J76" t="s">
        <v>914</v>
      </c>
    </row>
    <row r="77" spans="3:10" ht="39" customHeight="1">
      <c r="C77" t="str">
        <f t="shared" si="9"/>
        <v>8:30</v>
      </c>
      <c r="D77" t="s">
        <v>323</v>
      </c>
      <c r="E77" t="str">
        <f t="shared" si="6"/>
        <v>高中</v>
      </c>
      <c r="F77" t="str">
        <f t="shared" si="7"/>
        <v>男</v>
      </c>
      <c r="G77" t="str">
        <f t="shared" si="8"/>
        <v>三级</v>
      </c>
      <c r="I77" s="13" t="s">
        <v>352</v>
      </c>
      <c r="J77" t="s">
        <v>969</v>
      </c>
    </row>
    <row r="78" spans="3:10" ht="39" customHeight="1">
      <c r="C78" t="str">
        <f t="shared" si="9"/>
        <v>8:50</v>
      </c>
      <c r="D78" t="s">
        <v>314</v>
      </c>
      <c r="E78" t="str">
        <f t="shared" si="6"/>
        <v>初中</v>
      </c>
      <c r="F78" t="str">
        <f t="shared" si="7"/>
        <v>男</v>
      </c>
      <c r="G78" t="str">
        <f t="shared" si="8"/>
        <v>跳远</v>
      </c>
      <c r="I78" s="13" t="s">
        <v>299</v>
      </c>
      <c r="J78" t="s">
        <v>970</v>
      </c>
    </row>
    <row r="79" spans="3:10" ht="39" customHeight="1">
      <c r="C79" t="str">
        <f t="shared" si="9"/>
        <v>二、跳高</v>
      </c>
      <c r="E79" t="str">
        <f t="shared" si="6"/>
        <v>跳高</v>
      </c>
      <c r="F79" t="str">
        <f t="shared" si="7"/>
        <v/>
      </c>
      <c r="G79" t="str">
        <f t="shared" si="8"/>
        <v/>
      </c>
      <c r="I79" s="13" t="s">
        <v>356</v>
      </c>
      <c r="J79" t="s">
        <v>919</v>
      </c>
    </row>
    <row r="80" spans="3:10" ht="39" customHeight="1">
      <c r="C80" t="str">
        <f t="shared" si="9"/>
        <v>8:30</v>
      </c>
      <c r="D80" t="s">
        <v>215</v>
      </c>
      <c r="E80" t="str">
        <f t="shared" si="6"/>
        <v>高中</v>
      </c>
      <c r="F80" t="str">
        <f t="shared" si="7"/>
        <v>女</v>
      </c>
      <c r="G80" t="str">
        <f t="shared" si="8"/>
        <v>跳高</v>
      </c>
      <c r="I80" s="13" t="s">
        <v>526</v>
      </c>
      <c r="J80" t="s">
        <v>971</v>
      </c>
    </row>
    <row r="81" spans="3:10" ht="39" customHeight="1">
      <c r="C81" t="str">
        <f t="shared" si="9"/>
        <v>9:20</v>
      </c>
      <c r="D81" t="s">
        <v>324</v>
      </c>
      <c r="E81" t="str">
        <f t="shared" si="6"/>
        <v>高中</v>
      </c>
      <c r="F81" t="str">
        <f t="shared" si="7"/>
        <v>男</v>
      </c>
      <c r="G81" t="str">
        <f t="shared" si="8"/>
        <v>跳高</v>
      </c>
      <c r="I81" s="13" t="s">
        <v>527</v>
      </c>
      <c r="J81" t="s">
        <v>972</v>
      </c>
    </row>
    <row r="82" spans="3:10" ht="39" customHeight="1">
      <c r="C82" t="str">
        <f t="shared" si="9"/>
        <v>三、投掷</v>
      </c>
      <c r="E82" t="str">
        <f t="shared" si="6"/>
        <v>投掷</v>
      </c>
      <c r="F82" t="str">
        <f t="shared" si="7"/>
        <v/>
      </c>
      <c r="G82" t="str">
        <f t="shared" si="8"/>
        <v/>
      </c>
      <c r="I82" s="13" t="s">
        <v>357</v>
      </c>
      <c r="J82" t="s">
        <v>922</v>
      </c>
    </row>
    <row r="83" spans="3:10" ht="39" customHeight="1">
      <c r="C83" t="str">
        <f t="shared" si="9"/>
        <v>8:30</v>
      </c>
      <c r="D83" s="174" t="s">
        <v>181</v>
      </c>
      <c r="E83" t="str">
        <f t="shared" si="6"/>
        <v>初中</v>
      </c>
      <c r="F83" t="str">
        <f t="shared" si="7"/>
        <v>女</v>
      </c>
      <c r="G83" t="str">
        <f t="shared" si="8"/>
        <v>铅球</v>
      </c>
      <c r="I83" s="13" t="s">
        <v>528</v>
      </c>
      <c r="J83" t="s">
        <v>973</v>
      </c>
    </row>
    <row r="84" spans="3:10" ht="39" customHeight="1">
      <c r="C84" t="str">
        <f t="shared" si="9"/>
        <v>9:00</v>
      </c>
      <c r="D84" t="s">
        <v>325</v>
      </c>
      <c r="E84" t="str">
        <f t="shared" si="6"/>
        <v>初中</v>
      </c>
      <c r="F84" t="str">
        <f t="shared" si="7"/>
        <v>男</v>
      </c>
      <c r="G84" t="str">
        <f t="shared" si="8"/>
        <v>铅球</v>
      </c>
      <c r="I84" s="13" t="s">
        <v>529</v>
      </c>
      <c r="J84" t="s">
        <v>974</v>
      </c>
    </row>
    <row r="85" spans="3:10" ht="39" customHeight="1">
      <c r="C85" t="str">
        <f t="shared" si="9"/>
        <v/>
      </c>
      <c r="E85" t="e">
        <f t="shared" si="6"/>
        <v>#VALUE!</v>
      </c>
      <c r="F85" t="e">
        <f t="shared" si="7"/>
        <v>#VALUE!</v>
      </c>
      <c r="G85" t="e">
        <f t="shared" si="8"/>
        <v>#VALUE!</v>
      </c>
      <c r="I85" s="13"/>
    </row>
    <row r="86" spans="3:10" ht="39" customHeight="1">
      <c r="C86" t="str">
        <f t="shared" si="9"/>
        <v/>
      </c>
      <c r="E86" t="e">
        <f t="shared" si="6"/>
        <v>#VALUE!</v>
      </c>
      <c r="F86" t="e">
        <f t="shared" si="7"/>
        <v>#VALUE!</v>
      </c>
      <c r="G86" t="e">
        <f t="shared" si="8"/>
        <v>#VALUE!</v>
      </c>
      <c r="I86" s="11"/>
    </row>
    <row r="87" spans="3:10" ht="39" customHeight="1">
      <c r="C87" t="str">
        <f t="shared" si="9"/>
        <v/>
      </c>
      <c r="E87" t="e">
        <f t="shared" si="6"/>
        <v>#VALUE!</v>
      </c>
      <c r="F87" t="e">
        <f t="shared" si="7"/>
        <v>#VALUE!</v>
      </c>
      <c r="G87" t="e">
        <f t="shared" si="8"/>
        <v>#VALUE!</v>
      </c>
      <c r="I87" s="12"/>
    </row>
    <row r="88" spans="3:10" ht="39" customHeight="1">
      <c r="C88" t="str">
        <f t="shared" si="9"/>
        <v/>
      </c>
      <c r="D88" t="s">
        <v>373</v>
      </c>
      <c r="E88" t="e">
        <f t="shared" si="6"/>
        <v>#VALUE!</v>
      </c>
      <c r="F88" t="e">
        <f t="shared" si="7"/>
        <v>#VALUE!</v>
      </c>
      <c r="G88" t="e">
        <f t="shared" si="8"/>
        <v>#VALUE!</v>
      </c>
      <c r="I88" s="13"/>
    </row>
    <row r="89" spans="3:10" ht="39" customHeight="1">
      <c r="C89" t="str">
        <f t="shared" si="9"/>
        <v/>
      </c>
      <c r="D89" t="s">
        <v>422</v>
      </c>
      <c r="E89" t="e">
        <f t="shared" si="6"/>
        <v>#VALUE!</v>
      </c>
      <c r="F89" t="e">
        <f t="shared" si="7"/>
        <v>#VALUE!</v>
      </c>
      <c r="G89" t="e">
        <f t="shared" si="8"/>
        <v>#VALUE!</v>
      </c>
      <c r="I89" s="13"/>
    </row>
    <row r="90" spans="3:10" ht="39" customHeight="1">
      <c r="C90" t="str">
        <f t="shared" si="9"/>
        <v/>
      </c>
      <c r="D90" t="s">
        <v>374</v>
      </c>
      <c r="E90" t="e">
        <f t="shared" si="6"/>
        <v>#VALUE!</v>
      </c>
      <c r="F90" t="e">
        <f t="shared" si="7"/>
        <v>#VALUE!</v>
      </c>
      <c r="G90" t="e">
        <f t="shared" si="8"/>
        <v>#VALUE!</v>
      </c>
      <c r="I90" s="13"/>
    </row>
    <row r="91" spans="3:10" ht="39" customHeight="1">
      <c r="C91" t="str">
        <f t="shared" si="9"/>
        <v/>
      </c>
      <c r="D91" t="s">
        <v>375</v>
      </c>
      <c r="E91" t="e">
        <f t="shared" si="6"/>
        <v>#VALUE!</v>
      </c>
      <c r="F91" t="e">
        <f t="shared" si="7"/>
        <v>#VALUE!</v>
      </c>
      <c r="G91" t="e">
        <f t="shared" si="8"/>
        <v>#VALUE!</v>
      </c>
      <c r="I91" s="13"/>
    </row>
    <row r="92" spans="3:10" ht="39" customHeight="1">
      <c r="C92" t="str">
        <f t="shared" si="9"/>
        <v/>
      </c>
      <c r="D92" t="s">
        <v>424</v>
      </c>
      <c r="E92" t="e">
        <f t="shared" si="6"/>
        <v>#VALUE!</v>
      </c>
      <c r="F92" t="e">
        <f t="shared" si="7"/>
        <v>#VALUE!</v>
      </c>
      <c r="G92" t="e">
        <f t="shared" si="8"/>
        <v>#VALUE!</v>
      </c>
      <c r="I92" s="13"/>
    </row>
    <row r="93" spans="3:10" ht="39" customHeight="1">
      <c r="C93" t="str">
        <f t="shared" si="9"/>
        <v/>
      </c>
      <c r="D93" t="s">
        <v>425</v>
      </c>
      <c r="E93" t="e">
        <f t="shared" si="6"/>
        <v>#VALUE!</v>
      </c>
      <c r="F93" t="e">
        <f t="shared" si="7"/>
        <v>#VALUE!</v>
      </c>
      <c r="G93" t="e">
        <f t="shared" si="8"/>
        <v>#VALUE!</v>
      </c>
      <c r="I93" s="13"/>
    </row>
    <row r="94" spans="3:10" ht="39" customHeight="1">
      <c r="C94" t="str">
        <f t="shared" si="9"/>
        <v/>
      </c>
      <c r="D94" t="s">
        <v>426</v>
      </c>
      <c r="E94" t="e">
        <f t="shared" si="6"/>
        <v>#VALUE!</v>
      </c>
      <c r="F94" t="e">
        <f t="shared" si="7"/>
        <v>#VALUE!</v>
      </c>
      <c r="G94" t="e">
        <f t="shared" si="8"/>
        <v>#VALUE!</v>
      </c>
      <c r="I94" s="13"/>
    </row>
    <row r="95" spans="3:10" ht="39" customHeight="1">
      <c r="C95" t="str">
        <f t="shared" si="9"/>
        <v/>
      </c>
      <c r="D95" t="s">
        <v>427</v>
      </c>
      <c r="E95" t="e">
        <f t="shared" si="6"/>
        <v>#VALUE!</v>
      </c>
      <c r="F95" t="e">
        <f t="shared" si="7"/>
        <v>#VALUE!</v>
      </c>
      <c r="G95" t="e">
        <f t="shared" si="8"/>
        <v>#VALUE!</v>
      </c>
      <c r="I95" s="13"/>
    </row>
    <row r="96" spans="3:10" ht="39" customHeight="1">
      <c r="C96" t="str">
        <f t="shared" si="9"/>
        <v/>
      </c>
      <c r="E96" t="e">
        <f t="shared" si="6"/>
        <v>#VALUE!</v>
      </c>
      <c r="F96" t="e">
        <f t="shared" si="7"/>
        <v>#VALUE!</v>
      </c>
      <c r="G96" t="e">
        <f t="shared" si="8"/>
        <v>#VALUE!</v>
      </c>
      <c r="I96" s="13"/>
    </row>
    <row r="97" spans="3:9" ht="39" customHeight="1">
      <c r="C97" t="str">
        <f t="shared" si="9"/>
        <v/>
      </c>
      <c r="E97" t="e">
        <f t="shared" si="6"/>
        <v>#VALUE!</v>
      </c>
      <c r="F97" t="e">
        <f t="shared" si="7"/>
        <v>#VALUE!</v>
      </c>
      <c r="G97" t="e">
        <f t="shared" si="8"/>
        <v>#VALUE!</v>
      </c>
      <c r="I97" s="13"/>
    </row>
    <row r="98" spans="3:9" ht="39" customHeight="1">
      <c r="C98" t="str">
        <f t="shared" si="9"/>
        <v/>
      </c>
      <c r="E98" t="e">
        <f t="shared" si="6"/>
        <v>#VALUE!</v>
      </c>
      <c r="F98" t="e">
        <f t="shared" si="7"/>
        <v>#VALUE!</v>
      </c>
      <c r="G98" t="e">
        <f t="shared" si="8"/>
        <v>#VALUE!</v>
      </c>
      <c r="I98" s="12"/>
    </row>
    <row r="99" spans="3:9" ht="39" customHeight="1">
      <c r="C99" t="str">
        <f t="shared" si="9"/>
        <v/>
      </c>
      <c r="E99" t="e">
        <f t="shared" si="6"/>
        <v>#VALUE!</v>
      </c>
      <c r="F99" t="e">
        <f t="shared" si="7"/>
        <v>#VALUE!</v>
      </c>
      <c r="G99" t="e">
        <f t="shared" si="8"/>
        <v>#VALUE!</v>
      </c>
      <c r="I99" s="12"/>
    </row>
    <row r="100" spans="3:9" ht="39" customHeight="1">
      <c r="C100" t="str">
        <f t="shared" si="9"/>
        <v/>
      </c>
      <c r="D100" t="s">
        <v>428</v>
      </c>
      <c r="E100" t="e">
        <f t="shared" si="6"/>
        <v>#VALUE!</v>
      </c>
      <c r="F100" t="e">
        <f t="shared" si="7"/>
        <v>#VALUE!</v>
      </c>
      <c r="G100" t="e">
        <f t="shared" si="8"/>
        <v>#VALUE!</v>
      </c>
      <c r="I100" s="13"/>
    </row>
    <row r="101" spans="3:9" ht="39" customHeight="1">
      <c r="C101" t="str">
        <f t="shared" si="9"/>
        <v/>
      </c>
      <c r="D101" t="s">
        <v>376</v>
      </c>
      <c r="E101" t="e">
        <f t="shared" si="6"/>
        <v>#VALUE!</v>
      </c>
      <c r="F101" t="e">
        <f t="shared" si="7"/>
        <v>#VALUE!</v>
      </c>
      <c r="G101" t="e">
        <f t="shared" si="8"/>
        <v>#VALUE!</v>
      </c>
      <c r="I101" s="13"/>
    </row>
    <row r="102" spans="3:9" ht="39" customHeight="1">
      <c r="C102" t="str">
        <f t="shared" si="9"/>
        <v/>
      </c>
      <c r="D102" t="s">
        <v>377</v>
      </c>
      <c r="E102" t="e">
        <f t="shared" si="6"/>
        <v>#VALUE!</v>
      </c>
      <c r="F102" t="e">
        <f t="shared" si="7"/>
        <v>#VALUE!</v>
      </c>
      <c r="G102" t="e">
        <f t="shared" si="8"/>
        <v>#VALUE!</v>
      </c>
      <c r="I102" s="13"/>
    </row>
    <row r="103" spans="3:9" ht="39" customHeight="1">
      <c r="C103" t="str">
        <f t="shared" si="9"/>
        <v/>
      </c>
      <c r="D103" t="s">
        <v>429</v>
      </c>
      <c r="E103" t="e">
        <f t="shared" si="6"/>
        <v>#VALUE!</v>
      </c>
      <c r="F103" t="e">
        <f t="shared" si="7"/>
        <v>#VALUE!</v>
      </c>
      <c r="G103" t="e">
        <f t="shared" si="8"/>
        <v>#VALUE!</v>
      </c>
      <c r="I103" s="13"/>
    </row>
    <row r="104" spans="3:9" ht="39" customHeight="1">
      <c r="E104" t="e">
        <f t="shared" si="6"/>
        <v>#VALUE!</v>
      </c>
      <c r="F104" t="e">
        <f t="shared" si="7"/>
        <v>#VALUE!</v>
      </c>
      <c r="G104" t="e">
        <f t="shared" si="8"/>
        <v>#VALUE!</v>
      </c>
      <c r="I104" s="13"/>
    </row>
    <row r="105" spans="3:9" ht="39" customHeight="1">
      <c r="E105" t="e">
        <f t="shared" si="6"/>
        <v>#VALUE!</v>
      </c>
      <c r="F105" t="e">
        <f t="shared" si="7"/>
        <v>#VALUE!</v>
      </c>
      <c r="G105" t="e">
        <f t="shared" si="8"/>
        <v>#VALUE!</v>
      </c>
      <c r="I105" s="11"/>
    </row>
    <row r="106" spans="3:9" ht="39" customHeight="1">
      <c r="E106" t="e">
        <f t="shared" si="6"/>
        <v>#VALUE!</v>
      </c>
      <c r="F106" t="e">
        <f t="shared" si="7"/>
        <v>#VALUE!</v>
      </c>
      <c r="G106" t="e">
        <f t="shared" si="8"/>
        <v>#VALUE!</v>
      </c>
      <c r="I106" s="12"/>
    </row>
    <row r="107" spans="3:9" ht="39" customHeight="1">
      <c r="E107" t="e">
        <f t="shared" si="6"/>
        <v>#VALUE!</v>
      </c>
      <c r="F107" t="e">
        <f t="shared" si="7"/>
        <v>#VALUE!</v>
      </c>
      <c r="G107" t="e">
        <f t="shared" si="8"/>
        <v>#VALUE!</v>
      </c>
      <c r="I107" s="13"/>
    </row>
    <row r="108" spans="3:9" ht="39" customHeight="1">
      <c r="E108" t="e">
        <f t="shared" si="6"/>
        <v>#VALUE!</v>
      </c>
      <c r="F108" t="e">
        <f t="shared" si="7"/>
        <v>#VALUE!</v>
      </c>
      <c r="G108" t="e">
        <f t="shared" si="8"/>
        <v>#VALUE!</v>
      </c>
      <c r="I108" s="13"/>
    </row>
    <row r="109" spans="3:9" ht="39" customHeight="1">
      <c r="E109" t="e">
        <f t="shared" si="6"/>
        <v>#VALUE!</v>
      </c>
      <c r="F109" t="e">
        <f t="shared" si="7"/>
        <v>#VALUE!</v>
      </c>
      <c r="G109" t="e">
        <f t="shared" si="8"/>
        <v>#VALUE!</v>
      </c>
      <c r="I109" s="13"/>
    </row>
    <row r="110" spans="3:9" ht="39" customHeight="1">
      <c r="E110" t="e">
        <f t="shared" si="6"/>
        <v>#VALUE!</v>
      </c>
      <c r="F110" t="e">
        <f t="shared" si="7"/>
        <v>#VALUE!</v>
      </c>
      <c r="G110" t="e">
        <f t="shared" si="8"/>
        <v>#VALUE!</v>
      </c>
      <c r="I110" s="13"/>
    </row>
    <row r="111" spans="3:9" ht="39" customHeight="1">
      <c r="E111" t="e">
        <f t="shared" si="6"/>
        <v>#VALUE!</v>
      </c>
      <c r="F111" t="e">
        <f t="shared" si="7"/>
        <v>#VALUE!</v>
      </c>
      <c r="G111" t="e">
        <f t="shared" si="8"/>
        <v>#VALUE!</v>
      </c>
      <c r="I111" s="13"/>
    </row>
    <row r="112" spans="3:9" ht="39" customHeight="1">
      <c r="E112" t="e">
        <f t="shared" si="6"/>
        <v>#VALUE!</v>
      </c>
      <c r="F112" t="e">
        <f t="shared" si="7"/>
        <v>#VALUE!</v>
      </c>
      <c r="G112" t="e">
        <f t="shared" si="8"/>
        <v>#VALUE!</v>
      </c>
      <c r="I112" s="13"/>
    </row>
    <row r="113" spans="5:9" ht="39" customHeight="1">
      <c r="E113" t="e">
        <f t="shared" si="6"/>
        <v>#VALUE!</v>
      </c>
      <c r="F113" t="e">
        <f t="shared" si="7"/>
        <v>#VALUE!</v>
      </c>
      <c r="G113" t="e">
        <f t="shared" si="8"/>
        <v>#VALUE!</v>
      </c>
      <c r="I113" s="13"/>
    </row>
    <row r="114" spans="5:9" ht="39" customHeight="1">
      <c r="E114" t="e">
        <f t="shared" si="6"/>
        <v>#VALUE!</v>
      </c>
      <c r="F114" t="e">
        <f t="shared" si="7"/>
        <v>#VALUE!</v>
      </c>
      <c r="G114" t="e">
        <f t="shared" si="8"/>
        <v>#VALUE!</v>
      </c>
      <c r="I114" s="13"/>
    </row>
  </sheetData>
  <phoneticPr fontId="9" type="noConversion"/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A1:B380"/>
  <sheetViews>
    <sheetView topLeftCell="A361" workbookViewId="0">
      <selection activeCell="H30" sqref="H30"/>
    </sheetView>
  </sheetViews>
  <sheetFormatPr defaultColWidth="9" defaultRowHeight="14.25"/>
  <cols>
    <col min="1" max="1" width="5.625" customWidth="1"/>
  </cols>
  <sheetData>
    <row r="1" spans="1:2">
      <c r="A1" t="s">
        <v>341</v>
      </c>
    </row>
    <row r="3" spans="1:2">
      <c r="A3" t="s">
        <v>801</v>
      </c>
    </row>
    <row r="5" spans="1:2">
      <c r="A5" t="s">
        <v>802</v>
      </c>
    </row>
    <row r="6" spans="1:2">
      <c r="A6" t="s">
        <v>803</v>
      </c>
      <c r="B6" t="s">
        <v>734</v>
      </c>
    </row>
    <row r="7" spans="1:2">
      <c r="B7" t="s">
        <v>736</v>
      </c>
    </row>
    <row r="8" spans="1:2">
      <c r="B8" t="s">
        <v>737</v>
      </c>
    </row>
    <row r="9" spans="1:2">
      <c r="A9" t="s">
        <v>164</v>
      </c>
      <c r="B9" t="s">
        <v>738</v>
      </c>
    </row>
    <row r="10" spans="1:2">
      <c r="A10" t="s">
        <v>830</v>
      </c>
      <c r="B10" t="s">
        <v>302</v>
      </c>
    </row>
    <row r="11" spans="1:2">
      <c r="B11" t="s">
        <v>976</v>
      </c>
    </row>
    <row r="12" spans="1:2">
      <c r="A12" t="s">
        <v>165</v>
      </c>
      <c r="B12" t="s">
        <v>977</v>
      </c>
    </row>
    <row r="13" spans="1:2">
      <c r="B13" t="s">
        <v>978</v>
      </c>
    </row>
    <row r="14" spans="1:2">
      <c r="A14" t="s">
        <v>842</v>
      </c>
      <c r="B14" t="s">
        <v>302</v>
      </c>
    </row>
    <row r="15" spans="1:2">
      <c r="B15" t="s">
        <v>979</v>
      </c>
    </row>
    <row r="16" spans="1:2">
      <c r="B16" t="s">
        <v>980</v>
      </c>
    </row>
    <row r="17" spans="1:2">
      <c r="A17" t="s">
        <v>166</v>
      </c>
      <c r="B17" t="s">
        <v>981</v>
      </c>
    </row>
    <row r="18" spans="1:2">
      <c r="A18" t="s">
        <v>163</v>
      </c>
    </row>
    <row r="19" spans="1:2">
      <c r="A19" t="s">
        <v>851</v>
      </c>
    </row>
    <row r="20" spans="1:2">
      <c r="A20" t="s">
        <v>803</v>
      </c>
      <c r="B20" t="s">
        <v>734</v>
      </c>
    </row>
    <row r="21" spans="1:2">
      <c r="B21" t="s">
        <v>982</v>
      </c>
    </row>
    <row r="22" spans="1:2">
      <c r="A22" t="s">
        <v>164</v>
      </c>
      <c r="B22" t="s">
        <v>983</v>
      </c>
    </row>
    <row r="23" spans="1:2">
      <c r="B23" t="s">
        <v>984</v>
      </c>
    </row>
    <row r="24" spans="1:2">
      <c r="A24" t="s">
        <v>830</v>
      </c>
      <c r="B24" t="s">
        <v>302</v>
      </c>
    </row>
    <row r="25" spans="1:2">
      <c r="B25" t="s">
        <v>985</v>
      </c>
    </row>
    <row r="26" spans="1:2">
      <c r="B26" t="s">
        <v>986</v>
      </c>
    </row>
    <row r="27" spans="1:2">
      <c r="A27" t="s">
        <v>171</v>
      </c>
      <c r="B27" t="s">
        <v>987</v>
      </c>
    </row>
    <row r="28" spans="1:2">
      <c r="A28" t="s">
        <v>842</v>
      </c>
      <c r="B28" t="s">
        <v>302</v>
      </c>
    </row>
    <row r="29" spans="1:2">
      <c r="B29" t="s">
        <v>988</v>
      </c>
    </row>
    <row r="30" spans="1:2">
      <c r="B30" t="s">
        <v>989</v>
      </c>
    </row>
    <row r="31" spans="1:2">
      <c r="A31" t="s">
        <v>164</v>
      </c>
      <c r="B31" t="s">
        <v>990</v>
      </c>
    </row>
    <row r="33" spans="1:2">
      <c r="A33" t="s">
        <v>739</v>
      </c>
    </row>
    <row r="34" spans="1:2">
      <c r="A34" t="s">
        <v>803</v>
      </c>
      <c r="B34" t="s">
        <v>302</v>
      </c>
    </row>
    <row r="35" spans="1:2">
      <c r="A35" t="s">
        <v>172</v>
      </c>
      <c r="B35" t="s">
        <v>994</v>
      </c>
    </row>
    <row r="36" spans="1:2">
      <c r="A36" t="s">
        <v>163</v>
      </c>
      <c r="B36" t="s">
        <v>995</v>
      </c>
    </row>
    <row r="37" spans="1:2">
      <c r="A37" t="s">
        <v>830</v>
      </c>
      <c r="B37" t="s">
        <v>996</v>
      </c>
    </row>
    <row r="38" spans="1:2">
      <c r="A38" t="s">
        <v>301</v>
      </c>
      <c r="B38" t="s">
        <v>302</v>
      </c>
    </row>
    <row r="39" spans="1:2">
      <c r="B39" t="s">
        <v>1001</v>
      </c>
    </row>
    <row r="40" spans="1:2">
      <c r="A40" t="s">
        <v>173</v>
      </c>
      <c r="B40" t="s">
        <v>1002</v>
      </c>
    </row>
    <row r="41" spans="1:2">
      <c r="A41" t="s">
        <v>740</v>
      </c>
      <c r="B41" t="s">
        <v>1003</v>
      </c>
    </row>
    <row r="42" spans="1:2">
      <c r="A42" t="s">
        <v>803</v>
      </c>
    </row>
    <row r="43" spans="1:2">
      <c r="A43" t="s">
        <v>1004</v>
      </c>
    </row>
    <row r="44" spans="1:2">
      <c r="A44" t="s">
        <v>803</v>
      </c>
      <c r="B44" t="s">
        <v>1005</v>
      </c>
    </row>
    <row r="45" spans="1:2">
      <c r="A45" t="s">
        <v>878</v>
      </c>
      <c r="B45" t="s">
        <v>1009</v>
      </c>
    </row>
    <row r="46" spans="1:2">
      <c r="A46" t="s">
        <v>301</v>
      </c>
      <c r="B46" t="s">
        <v>1010</v>
      </c>
    </row>
    <row r="47" spans="1:2">
      <c r="A47" t="s">
        <v>351</v>
      </c>
      <c r="B47" t="s">
        <v>1011</v>
      </c>
    </row>
    <row r="48" spans="1:2">
      <c r="A48" t="s">
        <v>830</v>
      </c>
      <c r="B48" t="s">
        <v>1012</v>
      </c>
    </row>
    <row r="49" spans="1:2">
      <c r="A49" t="s">
        <v>163</v>
      </c>
      <c r="B49" t="s">
        <v>1014</v>
      </c>
    </row>
    <row r="50" spans="1:2">
      <c r="A50" t="s">
        <v>799</v>
      </c>
      <c r="B50" t="s">
        <v>1015</v>
      </c>
    </row>
    <row r="51" spans="1:2">
      <c r="A51" t="s">
        <v>803</v>
      </c>
      <c r="B51" t="s">
        <v>1016</v>
      </c>
    </row>
    <row r="52" spans="1:2">
      <c r="A52" t="s">
        <v>300</v>
      </c>
    </row>
    <row r="53" spans="1:2">
      <c r="A53" t="s">
        <v>1017</v>
      </c>
    </row>
    <row r="54" spans="1:2">
      <c r="A54" t="s">
        <v>803</v>
      </c>
      <c r="B54" t="s">
        <v>1005</v>
      </c>
    </row>
    <row r="55" spans="1:2">
      <c r="A55" t="s">
        <v>742</v>
      </c>
      <c r="B55" t="s">
        <v>1019</v>
      </c>
    </row>
    <row r="56" spans="1:2">
      <c r="A56" t="s">
        <v>803</v>
      </c>
      <c r="B56" t="s">
        <v>1020</v>
      </c>
    </row>
    <row r="57" spans="1:2">
      <c r="A57" t="s">
        <v>300</v>
      </c>
      <c r="B57" t="s">
        <v>1021</v>
      </c>
    </row>
    <row r="58" spans="1:2">
      <c r="A58" t="s">
        <v>164</v>
      </c>
    </row>
    <row r="59" spans="1:2">
      <c r="A59" t="s">
        <v>741</v>
      </c>
    </row>
    <row r="60" spans="1:2">
      <c r="A60" t="s">
        <v>803</v>
      </c>
      <c r="B60" t="s">
        <v>304</v>
      </c>
    </row>
    <row r="61" spans="1:2">
      <c r="A61" t="s">
        <v>746</v>
      </c>
      <c r="B61" t="s">
        <v>743</v>
      </c>
    </row>
    <row r="62" spans="1:2">
      <c r="A62" t="s">
        <v>803</v>
      </c>
      <c r="B62" t="s">
        <v>744</v>
      </c>
    </row>
    <row r="63" spans="1:2">
      <c r="B63" t="s">
        <v>745</v>
      </c>
    </row>
    <row r="65" spans="1:2" ht="20.25" customHeight="1">
      <c r="A65" t="s">
        <v>746</v>
      </c>
    </row>
    <row r="66" spans="1:2">
      <c r="A66" t="s">
        <v>803</v>
      </c>
      <c r="B66" t="s">
        <v>304</v>
      </c>
    </row>
    <row r="67" spans="1:2">
      <c r="A67" t="s">
        <v>175</v>
      </c>
      <c r="B67" t="s">
        <v>747</v>
      </c>
    </row>
    <row r="68" spans="1:2">
      <c r="A68" t="s">
        <v>163</v>
      </c>
      <c r="B68" t="s">
        <v>748</v>
      </c>
    </row>
    <row r="69" spans="1:2">
      <c r="A69" t="s">
        <v>165</v>
      </c>
      <c r="B69" t="s">
        <v>749</v>
      </c>
    </row>
    <row r="70" spans="1:2">
      <c r="A70" t="s">
        <v>830</v>
      </c>
      <c r="B70" t="s">
        <v>734</v>
      </c>
    </row>
    <row r="71" spans="1:2">
      <c r="B71" t="s">
        <v>750</v>
      </c>
    </row>
    <row r="72" spans="1:2">
      <c r="A72" t="s">
        <v>164</v>
      </c>
      <c r="B72" t="s">
        <v>751</v>
      </c>
    </row>
    <row r="73" spans="1:2">
      <c r="B73" t="s">
        <v>752</v>
      </c>
    </row>
    <row r="74" spans="1:2">
      <c r="A74" t="s">
        <v>842</v>
      </c>
      <c r="B74" t="s">
        <v>734</v>
      </c>
    </row>
    <row r="75" spans="1:2">
      <c r="A75" t="s">
        <v>803</v>
      </c>
      <c r="B75" t="s">
        <v>1022</v>
      </c>
    </row>
    <row r="76" spans="1:2">
      <c r="A76" t="s">
        <v>300</v>
      </c>
      <c r="B76" t="s">
        <v>1023</v>
      </c>
    </row>
    <row r="77" spans="1:2">
      <c r="A77" t="s">
        <v>328</v>
      </c>
      <c r="B77" t="s">
        <v>1024</v>
      </c>
    </row>
    <row r="78" spans="1:2">
      <c r="A78" t="s">
        <v>163</v>
      </c>
    </row>
    <row r="79" spans="1:2">
      <c r="A79" t="s">
        <v>753</v>
      </c>
    </row>
    <row r="80" spans="1:2">
      <c r="A80" t="s">
        <v>926</v>
      </c>
      <c r="B80" t="s">
        <v>302</v>
      </c>
    </row>
    <row r="81" spans="1:2">
      <c r="A81" t="s">
        <v>164</v>
      </c>
      <c r="B81" t="s">
        <v>1025</v>
      </c>
    </row>
    <row r="82" spans="1:2">
      <c r="B82" t="s">
        <v>1026</v>
      </c>
    </row>
    <row r="83" spans="1:2">
      <c r="A83" t="s">
        <v>842</v>
      </c>
      <c r="B83" t="s">
        <v>1027</v>
      </c>
    </row>
    <row r="84" spans="1:2">
      <c r="A84" t="s">
        <v>301</v>
      </c>
      <c r="B84" t="s">
        <v>302</v>
      </c>
    </row>
    <row r="85" spans="1:2">
      <c r="A85" t="s">
        <v>326</v>
      </c>
      <c r="B85" t="s">
        <v>1028</v>
      </c>
    </row>
    <row r="86" spans="1:2">
      <c r="A86" t="s">
        <v>163</v>
      </c>
      <c r="B86" t="s">
        <v>1029</v>
      </c>
    </row>
    <row r="87" spans="1:2">
      <c r="B87" t="s">
        <v>1030</v>
      </c>
    </row>
    <row r="88" spans="1:2">
      <c r="A88" t="s">
        <v>842</v>
      </c>
      <c r="B88" t="s">
        <v>1005</v>
      </c>
    </row>
    <row r="89" spans="1:2">
      <c r="A89" t="s">
        <v>803</v>
      </c>
      <c r="B89" t="s">
        <v>1031</v>
      </c>
    </row>
    <row r="90" spans="1:2">
      <c r="A90" t="s">
        <v>301</v>
      </c>
      <c r="B90" t="s">
        <v>1032</v>
      </c>
    </row>
    <row r="91" spans="1:2">
      <c r="B91" t="s">
        <v>1033</v>
      </c>
    </row>
    <row r="92" spans="1:2">
      <c r="A92" t="s">
        <v>830</v>
      </c>
    </row>
    <row r="93" spans="1:2">
      <c r="A93" t="s">
        <v>754</v>
      </c>
    </row>
    <row r="94" spans="1:2">
      <c r="A94" t="s">
        <v>803</v>
      </c>
      <c r="B94" t="s">
        <v>302</v>
      </c>
    </row>
    <row r="95" spans="1:2">
      <c r="A95" t="s">
        <v>305</v>
      </c>
      <c r="B95" t="s">
        <v>1034</v>
      </c>
    </row>
    <row r="96" spans="1:2">
      <c r="A96" t="s">
        <v>756</v>
      </c>
      <c r="B96" t="s">
        <v>1035</v>
      </c>
    </row>
    <row r="97" spans="1:2">
      <c r="A97" t="s">
        <v>803</v>
      </c>
      <c r="B97" t="s">
        <v>1003</v>
      </c>
    </row>
    <row r="98" spans="1:2">
      <c r="A98" t="s">
        <v>830</v>
      </c>
      <c r="B98" t="s">
        <v>302</v>
      </c>
    </row>
    <row r="99" spans="1:2">
      <c r="B99" t="s">
        <v>1037</v>
      </c>
    </row>
    <row r="100" spans="1:2">
      <c r="A100" t="s">
        <v>830</v>
      </c>
      <c r="B100" t="s">
        <v>1038</v>
      </c>
    </row>
    <row r="101" spans="1:2">
      <c r="A101" t="s">
        <v>164</v>
      </c>
      <c r="B101" t="s">
        <v>1003</v>
      </c>
    </row>
    <row r="102" spans="1:2">
      <c r="A102" t="s">
        <v>165</v>
      </c>
    </row>
    <row r="103" spans="1:2">
      <c r="A103" t="s">
        <v>755</v>
      </c>
    </row>
    <row r="104" spans="1:2">
      <c r="A104" t="s">
        <v>803</v>
      </c>
      <c r="B104" t="s">
        <v>1005</v>
      </c>
    </row>
    <row r="105" spans="1:2">
      <c r="A105" t="s">
        <v>163</v>
      </c>
      <c r="B105" t="s">
        <v>1040</v>
      </c>
    </row>
    <row r="106" spans="1:2">
      <c r="A106" t="s">
        <v>758</v>
      </c>
      <c r="B106" t="s">
        <v>1041</v>
      </c>
    </row>
    <row r="107" spans="1:2">
      <c r="A107" t="s">
        <v>803</v>
      </c>
      <c r="B107" t="s">
        <v>1011</v>
      </c>
    </row>
    <row r="108" spans="1:2">
      <c r="A108" t="s">
        <v>830</v>
      </c>
      <c r="B108" t="s">
        <v>1012</v>
      </c>
    </row>
    <row r="109" spans="1:2">
      <c r="A109" t="s">
        <v>164</v>
      </c>
      <c r="B109" t="s">
        <v>1042</v>
      </c>
    </row>
    <row r="110" spans="1:2">
      <c r="A110" t="s">
        <v>830</v>
      </c>
      <c r="B110" t="s">
        <v>1043</v>
      </c>
    </row>
    <row r="111" spans="1:2">
      <c r="A111" t="s">
        <v>345</v>
      </c>
      <c r="B111" t="s">
        <v>1044</v>
      </c>
    </row>
    <row r="112" spans="1:2">
      <c r="A112" t="s">
        <v>165</v>
      </c>
    </row>
    <row r="113" spans="1:2">
      <c r="A113" t="s">
        <v>757</v>
      </c>
    </row>
    <row r="114" spans="1:2">
      <c r="A114" t="s">
        <v>303</v>
      </c>
    </row>
    <row r="115" spans="1:2">
      <c r="A115" t="s">
        <v>758</v>
      </c>
    </row>
    <row r="116" spans="1:2">
      <c r="A116" t="s">
        <v>803</v>
      </c>
      <c r="B116" t="s">
        <v>734</v>
      </c>
    </row>
    <row r="117" spans="1:2">
      <c r="A117" t="s">
        <v>760</v>
      </c>
      <c r="B117" t="s">
        <v>1049</v>
      </c>
    </row>
    <row r="118" spans="1:2">
      <c r="A118" t="s">
        <v>803</v>
      </c>
      <c r="B118" t="s">
        <v>1050</v>
      </c>
    </row>
    <row r="119" spans="1:2">
      <c r="A119" t="s">
        <v>164</v>
      </c>
      <c r="B119" t="s">
        <v>984</v>
      </c>
    </row>
    <row r="120" spans="1:2">
      <c r="A120" t="s">
        <v>830</v>
      </c>
      <c r="B120" t="s">
        <v>302</v>
      </c>
    </row>
    <row r="121" spans="1:2">
      <c r="B121" t="s">
        <v>1055</v>
      </c>
    </row>
    <row r="122" spans="1:2">
      <c r="A122" t="s">
        <v>764</v>
      </c>
      <c r="B122" t="s">
        <v>1056</v>
      </c>
    </row>
    <row r="123" spans="1:2">
      <c r="A123" t="s">
        <v>803</v>
      </c>
      <c r="B123" t="s">
        <v>1057</v>
      </c>
    </row>
    <row r="124" spans="1:2">
      <c r="A124" t="s">
        <v>842</v>
      </c>
      <c r="B124" t="s">
        <v>302</v>
      </c>
    </row>
    <row r="125" spans="1:2">
      <c r="B125" t="s">
        <v>1062</v>
      </c>
    </row>
    <row r="126" spans="1:2">
      <c r="A126" t="s">
        <v>138</v>
      </c>
      <c r="B126" t="s">
        <v>1063</v>
      </c>
    </row>
    <row r="127" spans="1:2">
      <c r="B127" t="s">
        <v>1064</v>
      </c>
    </row>
    <row r="128" spans="1:2">
      <c r="A128" t="s">
        <v>139</v>
      </c>
    </row>
    <row r="129" spans="1:2">
      <c r="A129" t="s">
        <v>759</v>
      </c>
    </row>
    <row r="130" spans="1:2">
      <c r="A130" t="s">
        <v>803</v>
      </c>
      <c r="B130" t="s">
        <v>761</v>
      </c>
    </row>
    <row r="131" spans="1:2">
      <c r="A131" t="s">
        <v>913</v>
      </c>
      <c r="B131" t="s">
        <v>762</v>
      </c>
    </row>
    <row r="132" spans="1:2">
      <c r="A132" t="s">
        <v>344</v>
      </c>
      <c r="B132" t="s">
        <v>763</v>
      </c>
    </row>
    <row r="133" spans="1:2">
      <c r="A133" t="s">
        <v>914</v>
      </c>
    </row>
    <row r="134" spans="1:2">
      <c r="A134" t="s">
        <v>764</v>
      </c>
    </row>
    <row r="135" spans="1:2">
      <c r="A135" t="s">
        <v>803</v>
      </c>
      <c r="B135" t="s">
        <v>765</v>
      </c>
    </row>
    <row r="136" spans="1:2">
      <c r="A136" t="s">
        <v>803</v>
      </c>
      <c r="B136" t="s">
        <v>766</v>
      </c>
    </row>
    <row r="137" spans="1:2">
      <c r="A137" t="s">
        <v>163</v>
      </c>
      <c r="B137" t="s">
        <v>767</v>
      </c>
    </row>
    <row r="138" spans="1:2">
      <c r="A138" t="s">
        <v>163</v>
      </c>
    </row>
    <row r="140" spans="1:2">
      <c r="A140" t="s">
        <v>916</v>
      </c>
    </row>
    <row r="142" spans="1:2">
      <c r="A142" t="s">
        <v>163</v>
      </c>
    </row>
    <row r="143" spans="1:2">
      <c r="A143" t="s">
        <v>913</v>
      </c>
    </row>
    <row r="144" spans="1:2">
      <c r="A144" t="s">
        <v>163</v>
      </c>
    </row>
    <row r="145" spans="1:2">
      <c r="A145" t="s">
        <v>914</v>
      </c>
    </row>
    <row r="146" spans="1:2">
      <c r="A146" t="s">
        <v>803</v>
      </c>
    </row>
    <row r="147" spans="1:2">
      <c r="A147" t="s">
        <v>768</v>
      </c>
    </row>
    <row r="148" spans="1:2">
      <c r="A148" t="s">
        <v>803</v>
      </c>
      <c r="B148" t="s">
        <v>1065</v>
      </c>
    </row>
    <row r="149" spans="1:2">
      <c r="A149" t="s">
        <v>163</v>
      </c>
      <c r="B149" t="s">
        <v>1066</v>
      </c>
    </row>
    <row r="150" spans="1:2">
      <c r="A150" t="s">
        <v>772</v>
      </c>
      <c r="B150" t="s">
        <v>767</v>
      </c>
    </row>
    <row r="151" spans="1:2">
      <c r="A151" t="s">
        <v>803</v>
      </c>
    </row>
    <row r="152" spans="1:2">
      <c r="A152" t="s">
        <v>916</v>
      </c>
    </row>
    <row r="153" spans="1:2">
      <c r="A153" t="s">
        <v>926</v>
      </c>
      <c r="B153" t="s">
        <v>1067</v>
      </c>
    </row>
    <row r="154" spans="1:2">
      <c r="A154" t="s">
        <v>177</v>
      </c>
      <c r="B154" t="s">
        <v>1068</v>
      </c>
    </row>
    <row r="155" spans="1:2">
      <c r="A155" t="s">
        <v>919</v>
      </c>
      <c r="B155" t="s">
        <v>745</v>
      </c>
    </row>
    <row r="156" spans="1:2">
      <c r="A156" t="s">
        <v>163</v>
      </c>
    </row>
    <row r="157" spans="1:2">
      <c r="A157" t="s">
        <v>917</v>
      </c>
    </row>
    <row r="158" spans="1:2">
      <c r="A158" t="s">
        <v>803</v>
      </c>
      <c r="B158" t="s">
        <v>769</v>
      </c>
    </row>
    <row r="159" spans="1:2">
      <c r="A159" t="s">
        <v>185</v>
      </c>
      <c r="B159" t="s">
        <v>770</v>
      </c>
    </row>
    <row r="160" spans="1:2">
      <c r="A160" t="s">
        <v>186</v>
      </c>
      <c r="B160" t="s">
        <v>771</v>
      </c>
    </row>
    <row r="161" spans="1:2">
      <c r="A161" t="s">
        <v>163</v>
      </c>
    </row>
    <row r="162" spans="1:2">
      <c r="A162" t="s">
        <v>772</v>
      </c>
    </row>
    <row r="163" spans="1:2">
      <c r="A163" t="s">
        <v>803</v>
      </c>
      <c r="B163" t="s">
        <v>1069</v>
      </c>
    </row>
    <row r="164" spans="1:2">
      <c r="A164" t="s">
        <v>190</v>
      </c>
      <c r="B164" t="s">
        <v>1070</v>
      </c>
    </row>
    <row r="165" spans="1:2">
      <c r="A165" t="s">
        <v>140</v>
      </c>
      <c r="B165" t="s">
        <v>56</v>
      </c>
    </row>
    <row r="166" spans="1:2">
      <c r="A166" t="s">
        <v>163</v>
      </c>
    </row>
    <row r="167" spans="1:2">
      <c r="A167" t="s">
        <v>919</v>
      </c>
    </row>
    <row r="168" spans="1:2">
      <c r="A168" t="s">
        <v>178</v>
      </c>
    </row>
    <row r="169" spans="1:2">
      <c r="A169" t="s">
        <v>920</v>
      </c>
    </row>
    <row r="170" spans="1:2">
      <c r="A170" t="s">
        <v>803</v>
      </c>
      <c r="B170" t="s">
        <v>773</v>
      </c>
    </row>
    <row r="171" spans="1:2">
      <c r="B171" t="s">
        <v>774</v>
      </c>
    </row>
    <row r="172" spans="1:2">
      <c r="A172" t="s">
        <v>141</v>
      </c>
      <c r="B172" t="s">
        <v>775</v>
      </c>
    </row>
    <row r="173" spans="1:2">
      <c r="A173" t="s">
        <v>163</v>
      </c>
    </row>
    <row r="174" spans="1:2">
      <c r="A174" t="s">
        <v>776</v>
      </c>
    </row>
    <row r="175" spans="1:2">
      <c r="A175" t="s">
        <v>803</v>
      </c>
      <c r="B175" t="s">
        <v>777</v>
      </c>
    </row>
    <row r="176" spans="1:2">
      <c r="A176" t="s">
        <v>191</v>
      </c>
      <c r="B176" t="s">
        <v>778</v>
      </c>
    </row>
    <row r="177" spans="1:2">
      <c r="A177" t="s">
        <v>327</v>
      </c>
      <c r="B177" t="s">
        <v>779</v>
      </c>
    </row>
    <row r="178" spans="1:2">
      <c r="A178" t="s">
        <v>163</v>
      </c>
    </row>
    <row r="179" spans="1:2">
      <c r="A179" t="s">
        <v>922</v>
      </c>
    </row>
    <row r="180" spans="1:2">
      <c r="A180" t="s">
        <v>803</v>
      </c>
    </row>
    <row r="181" spans="1:2">
      <c r="A181" t="s">
        <v>923</v>
      </c>
    </row>
    <row r="182" spans="1:2">
      <c r="A182" t="s">
        <v>803</v>
      </c>
      <c r="B182" t="s">
        <v>57</v>
      </c>
    </row>
    <row r="183" spans="1:2">
      <c r="A183" t="s">
        <v>926</v>
      </c>
      <c r="B183" t="s">
        <v>58</v>
      </c>
    </row>
    <row r="184" spans="1:2">
      <c r="A184" t="s">
        <v>231</v>
      </c>
      <c r="B184" t="s">
        <v>59</v>
      </c>
    </row>
    <row r="185" spans="1:2">
      <c r="A185" t="s">
        <v>342</v>
      </c>
    </row>
    <row r="186" spans="1:2">
      <c r="A186" t="s">
        <v>924</v>
      </c>
    </row>
    <row r="187" spans="1:2">
      <c r="A187" t="s">
        <v>926</v>
      </c>
      <c r="B187" t="s">
        <v>781</v>
      </c>
    </row>
    <row r="188" spans="1:2">
      <c r="A188" t="s">
        <v>803</v>
      </c>
      <c r="B188" t="s">
        <v>782</v>
      </c>
    </row>
    <row r="189" spans="1:2">
      <c r="B189" t="s">
        <v>783</v>
      </c>
    </row>
    <row r="190" spans="1:2">
      <c r="A190" t="s">
        <v>163</v>
      </c>
    </row>
    <row r="191" spans="1:2">
      <c r="A191" t="s">
        <v>784</v>
      </c>
    </row>
    <row r="192" spans="1:2">
      <c r="A192" t="s">
        <v>300</v>
      </c>
      <c r="B192" t="s">
        <v>60</v>
      </c>
    </row>
    <row r="193" spans="1:2">
      <c r="A193" t="s">
        <v>162</v>
      </c>
      <c r="B193" t="s">
        <v>61</v>
      </c>
    </row>
    <row r="194" spans="1:2">
      <c r="A194" t="s">
        <v>928</v>
      </c>
      <c r="B194" t="s">
        <v>62</v>
      </c>
    </row>
    <row r="195" spans="1:2">
      <c r="A195" t="s">
        <v>803</v>
      </c>
    </row>
    <row r="196" spans="1:2">
      <c r="A196" t="s">
        <v>929</v>
      </c>
    </row>
    <row r="197" spans="1:2">
      <c r="A197" t="s">
        <v>150</v>
      </c>
    </row>
    <row r="198" spans="1:2">
      <c r="A198" t="s">
        <v>930</v>
      </c>
    </row>
    <row r="199" spans="1:2">
      <c r="A199" t="s">
        <v>63</v>
      </c>
    </row>
    <row r="200" spans="1:2">
      <c r="A200" t="s">
        <v>803</v>
      </c>
      <c r="B200" t="s">
        <v>64</v>
      </c>
    </row>
    <row r="201" spans="1:2">
      <c r="A201" t="s">
        <v>151</v>
      </c>
      <c r="B201" t="s">
        <v>65</v>
      </c>
    </row>
    <row r="202" spans="1:2">
      <c r="A202" t="s">
        <v>932</v>
      </c>
      <c r="B202" t="s">
        <v>66</v>
      </c>
    </row>
    <row r="203" spans="1:2">
      <c r="A203" t="s">
        <v>152</v>
      </c>
    </row>
    <row r="206" spans="1:2">
      <c r="A206" t="s">
        <v>928</v>
      </c>
    </row>
    <row r="207" spans="1:2">
      <c r="A207" t="s">
        <v>926</v>
      </c>
    </row>
    <row r="208" spans="1:2">
      <c r="A208" t="s">
        <v>801</v>
      </c>
    </row>
    <row r="210" spans="1:2">
      <c r="A210" t="s">
        <v>930</v>
      </c>
    </row>
    <row r="211" spans="1:2">
      <c r="A211" t="s">
        <v>935</v>
      </c>
    </row>
    <row r="212" spans="1:2">
      <c r="A212" t="s">
        <v>931</v>
      </c>
    </row>
    <row r="213" spans="1:2">
      <c r="A213" t="s">
        <v>937</v>
      </c>
    </row>
    <row r="214" spans="1:2">
      <c r="A214" t="s">
        <v>932</v>
      </c>
    </row>
    <row r="215" spans="1:2">
      <c r="A215" t="s">
        <v>939</v>
      </c>
    </row>
    <row r="216" spans="1:2">
      <c r="A216" t="s">
        <v>933</v>
      </c>
    </row>
    <row r="217" spans="1:2">
      <c r="A217" t="s">
        <v>941</v>
      </c>
    </row>
    <row r="218" spans="1:2">
      <c r="A218" t="s">
        <v>934</v>
      </c>
    </row>
    <row r="219" spans="1:2">
      <c r="A219" t="s">
        <v>803</v>
      </c>
      <c r="B219" t="s">
        <v>734</v>
      </c>
    </row>
    <row r="220" spans="1:2">
      <c r="A220" t="s">
        <v>803</v>
      </c>
      <c r="B220" t="s">
        <v>69</v>
      </c>
    </row>
    <row r="221" spans="1:2">
      <c r="A221" t="s">
        <v>153</v>
      </c>
      <c r="B221" t="s">
        <v>70</v>
      </c>
    </row>
    <row r="222" spans="1:2">
      <c r="A222" t="s">
        <v>147</v>
      </c>
      <c r="B222" t="s">
        <v>66</v>
      </c>
    </row>
    <row r="223" spans="1:2">
      <c r="A223" t="s">
        <v>203</v>
      </c>
    </row>
    <row r="224" spans="1:2">
      <c r="A224" t="s">
        <v>935</v>
      </c>
    </row>
    <row r="225" spans="1:2">
      <c r="A225" t="s">
        <v>803</v>
      </c>
    </row>
    <row r="226" spans="1:2">
      <c r="A226" t="s">
        <v>937</v>
      </c>
    </row>
    <row r="227" spans="1:2">
      <c r="A227" t="s">
        <v>205</v>
      </c>
    </row>
    <row r="228" spans="1:2">
      <c r="A228" t="s">
        <v>940</v>
      </c>
    </row>
    <row r="229" spans="1:2">
      <c r="A229" t="s">
        <v>944</v>
      </c>
    </row>
    <row r="230" spans="1:2">
      <c r="A230" t="s">
        <v>941</v>
      </c>
    </row>
    <row r="231" spans="1:2">
      <c r="A231" t="s">
        <v>187</v>
      </c>
    </row>
    <row r="232" spans="1:2">
      <c r="A232" t="s">
        <v>942</v>
      </c>
    </row>
    <row r="233" spans="1:2">
      <c r="A233" t="s">
        <v>803</v>
      </c>
      <c r="B233" t="s">
        <v>734</v>
      </c>
    </row>
    <row r="234" spans="1:2">
      <c r="A234" t="s">
        <v>945</v>
      </c>
      <c r="B234" t="s">
        <v>73</v>
      </c>
    </row>
    <row r="235" spans="1:2">
      <c r="B235" t="s">
        <v>74</v>
      </c>
    </row>
    <row r="236" spans="1:2">
      <c r="A236" t="s">
        <v>913</v>
      </c>
      <c r="B236" t="s">
        <v>66</v>
      </c>
    </row>
    <row r="237" spans="1:2">
      <c r="A237" t="s">
        <v>163</v>
      </c>
    </row>
    <row r="238" spans="1:2">
      <c r="A238" t="s">
        <v>943</v>
      </c>
    </row>
    <row r="239" spans="1:2">
      <c r="A239" t="s">
        <v>803</v>
      </c>
      <c r="B239" t="s">
        <v>75</v>
      </c>
    </row>
    <row r="240" spans="1:2">
      <c r="A240" t="s">
        <v>946</v>
      </c>
      <c r="B240" t="s">
        <v>76</v>
      </c>
    </row>
    <row r="241" spans="1:2">
      <c r="A241" t="s">
        <v>803</v>
      </c>
      <c r="B241" t="s">
        <v>77</v>
      </c>
    </row>
    <row r="242" spans="1:2">
      <c r="A242" t="s">
        <v>163</v>
      </c>
    </row>
    <row r="243" spans="1:2">
      <c r="A243" t="s">
        <v>944</v>
      </c>
    </row>
    <row r="244" spans="1:2">
      <c r="A244" t="s">
        <v>803</v>
      </c>
      <c r="B244" t="s">
        <v>785</v>
      </c>
    </row>
    <row r="245" spans="1:2">
      <c r="A245" t="s">
        <v>947</v>
      </c>
      <c r="B245" t="s">
        <v>786</v>
      </c>
    </row>
    <row r="246" spans="1:2">
      <c r="A246" t="s">
        <v>803</v>
      </c>
      <c r="B246" t="s">
        <v>745</v>
      </c>
    </row>
    <row r="247" spans="1:2">
      <c r="A247" t="s">
        <v>163</v>
      </c>
    </row>
    <row r="248" spans="1:2">
      <c r="A248" t="s">
        <v>945</v>
      </c>
    </row>
    <row r="249" spans="1:2">
      <c r="A249" t="s">
        <v>803</v>
      </c>
    </row>
    <row r="250" spans="1:2">
      <c r="A250" t="s">
        <v>913</v>
      </c>
    </row>
    <row r="251" spans="1:2">
      <c r="A251" t="s">
        <v>176</v>
      </c>
    </row>
    <row r="252" spans="1:2">
      <c r="A252" t="s">
        <v>914</v>
      </c>
    </row>
    <row r="253" spans="1:2">
      <c r="A253" t="s">
        <v>919</v>
      </c>
    </row>
    <row r="254" spans="1:2">
      <c r="A254" t="s">
        <v>946</v>
      </c>
    </row>
    <row r="255" spans="1:2">
      <c r="A255" t="s">
        <v>803</v>
      </c>
      <c r="B255" t="s">
        <v>78</v>
      </c>
    </row>
    <row r="256" spans="1:2">
      <c r="A256" t="s">
        <v>803</v>
      </c>
      <c r="B256" t="s">
        <v>79</v>
      </c>
    </row>
    <row r="257" spans="1:2">
      <c r="A257" t="s">
        <v>334</v>
      </c>
      <c r="B257" t="s">
        <v>80</v>
      </c>
    </row>
    <row r="258" spans="1:2">
      <c r="A258" t="s">
        <v>147</v>
      </c>
    </row>
    <row r="259" spans="1:2">
      <c r="A259" t="s">
        <v>947</v>
      </c>
    </row>
    <row r="260" spans="1:2">
      <c r="A260" t="s">
        <v>803</v>
      </c>
      <c r="B260" t="s">
        <v>787</v>
      </c>
    </row>
    <row r="261" spans="1:2">
      <c r="A261" t="s">
        <v>803</v>
      </c>
      <c r="B261" t="s">
        <v>788</v>
      </c>
    </row>
    <row r="262" spans="1:2">
      <c r="A262" t="s">
        <v>148</v>
      </c>
      <c r="B262" t="s">
        <v>789</v>
      </c>
    </row>
    <row r="263" spans="1:2">
      <c r="A263" t="s">
        <v>803</v>
      </c>
    </row>
    <row r="264" spans="1:2">
      <c r="A264" t="s">
        <v>232</v>
      </c>
    </row>
    <row r="265" spans="1:2">
      <c r="A265" t="s">
        <v>922</v>
      </c>
    </row>
    <row r="267" spans="1:2">
      <c r="A267" t="s">
        <v>919</v>
      </c>
    </row>
    <row r="268" spans="1:2">
      <c r="A268" t="s">
        <v>803</v>
      </c>
    </row>
    <row r="269" spans="1:2">
      <c r="A269" t="s">
        <v>948</v>
      </c>
    </row>
    <row r="270" spans="1:2">
      <c r="A270" t="s">
        <v>803</v>
      </c>
      <c r="B270" t="s">
        <v>81</v>
      </c>
    </row>
    <row r="271" spans="1:2">
      <c r="B271" t="s">
        <v>82</v>
      </c>
    </row>
    <row r="272" spans="1:2">
      <c r="A272" t="s">
        <v>951</v>
      </c>
      <c r="B272" t="s">
        <v>83</v>
      </c>
    </row>
    <row r="273" spans="1:2">
      <c r="A273" t="s">
        <v>803</v>
      </c>
    </row>
    <row r="274" spans="1:2">
      <c r="A274" t="s">
        <v>949</v>
      </c>
    </row>
    <row r="275" spans="1:2">
      <c r="A275" t="s">
        <v>803</v>
      </c>
      <c r="B275" t="s">
        <v>84</v>
      </c>
    </row>
    <row r="276" spans="1:2">
      <c r="B276" t="s">
        <v>85</v>
      </c>
    </row>
    <row r="277" spans="1:2">
      <c r="A277" t="s">
        <v>952</v>
      </c>
      <c r="B277" t="s">
        <v>86</v>
      </c>
    </row>
    <row r="278" spans="1:2">
      <c r="A278" t="s">
        <v>926</v>
      </c>
    </row>
    <row r="279" spans="1:2">
      <c r="A279" t="s">
        <v>922</v>
      </c>
    </row>
    <row r="280" spans="1:2">
      <c r="A280" t="s">
        <v>149</v>
      </c>
    </row>
    <row r="281" spans="1:2">
      <c r="A281" t="s">
        <v>950</v>
      </c>
    </row>
    <row r="282" spans="1:2">
      <c r="A282" t="s">
        <v>803</v>
      </c>
      <c r="B282" t="s">
        <v>87</v>
      </c>
    </row>
    <row r="283" spans="1:2">
      <c r="A283" t="s">
        <v>926</v>
      </c>
      <c r="B283" t="s">
        <v>88</v>
      </c>
    </row>
    <row r="284" spans="1:2">
      <c r="A284" t="s">
        <v>335</v>
      </c>
      <c r="B284" t="s">
        <v>89</v>
      </c>
    </row>
    <row r="285" spans="1:2">
      <c r="A285" t="s">
        <v>343</v>
      </c>
    </row>
    <row r="286" spans="1:2">
      <c r="A286" t="s">
        <v>951</v>
      </c>
    </row>
    <row r="287" spans="1:2">
      <c r="A287" t="s">
        <v>803</v>
      </c>
      <c r="B287" t="s">
        <v>790</v>
      </c>
    </row>
    <row r="288" spans="1:2">
      <c r="A288" t="s">
        <v>329</v>
      </c>
      <c r="B288" t="s">
        <v>791</v>
      </c>
    </row>
    <row r="289" spans="1:2">
      <c r="A289" t="s">
        <v>801</v>
      </c>
      <c r="B289" t="s">
        <v>792</v>
      </c>
    </row>
    <row r="290" spans="1:2">
      <c r="A290" t="s">
        <v>330</v>
      </c>
    </row>
    <row r="291" spans="1:2">
      <c r="A291" t="s">
        <v>952</v>
      </c>
    </row>
    <row r="292" spans="1:2">
      <c r="A292" t="s">
        <v>803</v>
      </c>
      <c r="B292" t="s">
        <v>90</v>
      </c>
    </row>
    <row r="293" spans="1:2">
      <c r="A293" t="s">
        <v>956</v>
      </c>
      <c r="B293" t="s">
        <v>91</v>
      </c>
    </row>
    <row r="294" spans="1:2">
      <c r="A294" t="s">
        <v>331</v>
      </c>
      <c r="B294" t="s">
        <v>92</v>
      </c>
    </row>
    <row r="295" spans="1:2">
      <c r="A295" t="s">
        <v>958</v>
      </c>
    </row>
    <row r="296" spans="1:2">
      <c r="A296" t="s">
        <v>953</v>
      </c>
    </row>
    <row r="297" spans="1:2">
      <c r="A297" t="s">
        <v>803</v>
      </c>
      <c r="B297" t="s">
        <v>93</v>
      </c>
    </row>
    <row r="298" spans="1:2">
      <c r="A298" t="s">
        <v>257</v>
      </c>
      <c r="B298" t="s">
        <v>94</v>
      </c>
    </row>
    <row r="299" spans="1:2">
      <c r="A299" t="s">
        <v>960</v>
      </c>
      <c r="B299" t="s">
        <v>95</v>
      </c>
    </row>
    <row r="300" spans="1:2">
      <c r="A300" t="s">
        <v>926</v>
      </c>
    </row>
    <row r="301" spans="1:2">
      <c r="A301" t="s">
        <v>954</v>
      </c>
    </row>
    <row r="303" spans="1:2">
      <c r="A303" t="s">
        <v>801</v>
      </c>
    </row>
    <row r="304" spans="1:2">
      <c r="A304" t="s">
        <v>961</v>
      </c>
    </row>
    <row r="305" spans="1:2">
      <c r="A305" t="s">
        <v>955</v>
      </c>
    </row>
    <row r="306" spans="1:2">
      <c r="A306" t="s">
        <v>332</v>
      </c>
    </row>
    <row r="307" spans="1:2">
      <c r="A307" t="s">
        <v>957</v>
      </c>
    </row>
    <row r="308" spans="1:2">
      <c r="A308" t="s">
        <v>258</v>
      </c>
    </row>
    <row r="309" spans="1:2">
      <c r="A309" t="s">
        <v>958</v>
      </c>
    </row>
    <row r="310" spans="1:2">
      <c r="A310" t="s">
        <v>926</v>
      </c>
    </row>
    <row r="311" spans="1:2">
      <c r="A311" t="s">
        <v>959</v>
      </c>
    </row>
    <row r="312" spans="1:2">
      <c r="A312" t="s">
        <v>149</v>
      </c>
    </row>
    <row r="313" spans="1:2">
      <c r="A313" t="s">
        <v>960</v>
      </c>
    </row>
    <row r="314" spans="1:2">
      <c r="A314" t="s">
        <v>803</v>
      </c>
      <c r="B314" t="s">
        <v>304</v>
      </c>
    </row>
    <row r="315" spans="1:2">
      <c r="A315" t="s">
        <v>926</v>
      </c>
      <c r="B315" t="s">
        <v>99</v>
      </c>
    </row>
    <row r="316" spans="1:2">
      <c r="A316" t="s">
        <v>336</v>
      </c>
      <c r="B316" t="s">
        <v>100</v>
      </c>
    </row>
    <row r="317" spans="1:2">
      <c r="A317" t="s">
        <v>149</v>
      </c>
      <c r="B317" t="s">
        <v>767</v>
      </c>
    </row>
    <row r="318" spans="1:2">
      <c r="A318" t="s">
        <v>164</v>
      </c>
    </row>
    <row r="319" spans="1:2">
      <c r="A319" t="s">
        <v>962</v>
      </c>
    </row>
    <row r="320" spans="1:2">
      <c r="A320" t="s">
        <v>926</v>
      </c>
      <c r="B320" t="s">
        <v>304</v>
      </c>
    </row>
    <row r="321" spans="1:2">
      <c r="A321" t="s">
        <v>966</v>
      </c>
      <c r="B321" t="s">
        <v>101</v>
      </c>
    </row>
    <row r="322" spans="1:2">
      <c r="A322" t="s">
        <v>343</v>
      </c>
      <c r="B322" t="s">
        <v>102</v>
      </c>
    </row>
    <row r="323" spans="1:2">
      <c r="A323" t="s">
        <v>967</v>
      </c>
      <c r="B323" t="s">
        <v>767</v>
      </c>
    </row>
    <row r="324" spans="1:2">
      <c r="A324" t="s">
        <v>163</v>
      </c>
    </row>
    <row r="325" spans="1:2">
      <c r="A325" t="s">
        <v>793</v>
      </c>
    </row>
    <row r="326" spans="1:2">
      <c r="A326" t="s">
        <v>803</v>
      </c>
      <c r="B326" t="s">
        <v>103</v>
      </c>
    </row>
    <row r="327" spans="1:2">
      <c r="A327" t="s">
        <v>968</v>
      </c>
      <c r="B327" t="s">
        <v>104</v>
      </c>
    </row>
    <row r="328" spans="1:2">
      <c r="A328" t="s">
        <v>188</v>
      </c>
      <c r="B328" t="s">
        <v>92</v>
      </c>
    </row>
    <row r="329" spans="1:2">
      <c r="A329" t="s">
        <v>914</v>
      </c>
    </row>
    <row r="330" spans="1:2">
      <c r="A330" t="s">
        <v>105</v>
      </c>
    </row>
    <row r="331" spans="1:2">
      <c r="A331" t="s">
        <v>803</v>
      </c>
      <c r="B331" t="s">
        <v>106</v>
      </c>
    </row>
    <row r="332" spans="1:2">
      <c r="A332" t="s">
        <v>803</v>
      </c>
      <c r="B332" t="s">
        <v>107</v>
      </c>
    </row>
    <row r="333" spans="1:2">
      <c r="A333" t="s">
        <v>337</v>
      </c>
      <c r="B333" t="s">
        <v>95</v>
      </c>
    </row>
    <row r="334" spans="1:2">
      <c r="A334" t="s">
        <v>147</v>
      </c>
    </row>
    <row r="335" spans="1:2">
      <c r="A335" t="s">
        <v>965</v>
      </c>
    </row>
    <row r="336" spans="1:2">
      <c r="A336" t="s">
        <v>970</v>
      </c>
    </row>
    <row r="337" spans="1:2">
      <c r="A337" t="s">
        <v>966</v>
      </c>
    </row>
    <row r="338" spans="1:2">
      <c r="A338" t="s">
        <v>338</v>
      </c>
    </row>
    <row r="339" spans="1:2">
      <c r="A339" t="s">
        <v>967</v>
      </c>
    </row>
    <row r="340" spans="1:2">
      <c r="A340" t="s">
        <v>297</v>
      </c>
    </row>
    <row r="343" spans="1:2">
      <c r="A343" t="s">
        <v>913</v>
      </c>
    </row>
    <row r="344" spans="1:2">
      <c r="A344" t="s">
        <v>803</v>
      </c>
    </row>
    <row r="345" spans="1:2">
      <c r="A345" t="s">
        <v>914</v>
      </c>
    </row>
    <row r="346" spans="1:2">
      <c r="A346" t="s">
        <v>147</v>
      </c>
    </row>
    <row r="347" spans="1:2">
      <c r="A347" t="s">
        <v>108</v>
      </c>
    </row>
    <row r="348" spans="1:2">
      <c r="A348" t="s">
        <v>803</v>
      </c>
      <c r="B348" t="s">
        <v>109</v>
      </c>
    </row>
    <row r="349" spans="1:2">
      <c r="A349" t="s">
        <v>803</v>
      </c>
      <c r="B349" t="s">
        <v>110</v>
      </c>
    </row>
    <row r="350" spans="1:2">
      <c r="A350" t="s">
        <v>339</v>
      </c>
      <c r="B350" t="s">
        <v>111</v>
      </c>
    </row>
    <row r="351" spans="1:2">
      <c r="A351" t="s">
        <v>147</v>
      </c>
    </row>
    <row r="352" spans="1:2">
      <c r="A352" t="s">
        <v>112</v>
      </c>
    </row>
    <row r="353" spans="1:2">
      <c r="A353" t="s">
        <v>803</v>
      </c>
      <c r="B353" t="s">
        <v>794</v>
      </c>
    </row>
    <row r="354" spans="1:2">
      <c r="A354" t="s">
        <v>343</v>
      </c>
      <c r="B354" t="s">
        <v>795</v>
      </c>
    </row>
    <row r="355" spans="1:2">
      <c r="A355" t="s">
        <v>973</v>
      </c>
      <c r="B355" t="s">
        <v>796</v>
      </c>
    </row>
    <row r="356" spans="1:2">
      <c r="A356" t="s">
        <v>803</v>
      </c>
    </row>
    <row r="357" spans="1:2">
      <c r="A357" t="s">
        <v>919</v>
      </c>
    </row>
    <row r="358" spans="1:2">
      <c r="A358" t="s">
        <v>147</v>
      </c>
    </row>
    <row r="359" spans="1:2">
      <c r="A359" t="s">
        <v>797</v>
      </c>
    </row>
    <row r="360" spans="1:2">
      <c r="A360" t="s">
        <v>803</v>
      </c>
      <c r="B360" t="s">
        <v>113</v>
      </c>
    </row>
    <row r="361" spans="1:2">
      <c r="A361" t="s">
        <v>803</v>
      </c>
      <c r="B361" t="s">
        <v>114</v>
      </c>
    </row>
    <row r="362" spans="1:2">
      <c r="A362" t="s">
        <v>340</v>
      </c>
      <c r="B362" t="s">
        <v>111</v>
      </c>
    </row>
    <row r="363" spans="1:2">
      <c r="A363" t="s">
        <v>147</v>
      </c>
    </row>
    <row r="364" spans="1:2">
      <c r="A364" t="s">
        <v>115</v>
      </c>
    </row>
    <row r="365" spans="1:2">
      <c r="A365" t="s">
        <v>300</v>
      </c>
      <c r="B365" t="s">
        <v>116</v>
      </c>
    </row>
    <row r="366" spans="1:2">
      <c r="A366" t="s">
        <v>163</v>
      </c>
      <c r="B366" t="s">
        <v>117</v>
      </c>
    </row>
    <row r="367" spans="1:2">
      <c r="B367" t="s">
        <v>111</v>
      </c>
    </row>
    <row r="368" spans="1:2">
      <c r="A368" t="s">
        <v>163</v>
      </c>
    </row>
    <row r="369" spans="1:2">
      <c r="A369" t="s">
        <v>780</v>
      </c>
    </row>
    <row r="370" spans="1:2">
      <c r="A370" t="s">
        <v>357</v>
      </c>
    </row>
    <row r="371" spans="1:2">
      <c r="A371" t="s">
        <v>798</v>
      </c>
    </row>
    <row r="372" spans="1:2">
      <c r="A372" t="s">
        <v>803</v>
      </c>
      <c r="B372" t="s">
        <v>93</v>
      </c>
    </row>
    <row r="373" spans="1:2">
      <c r="B373" t="s">
        <v>94</v>
      </c>
    </row>
    <row r="374" spans="1:2">
      <c r="A374" t="s">
        <v>189</v>
      </c>
      <c r="B374" t="s">
        <v>95</v>
      </c>
    </row>
    <row r="376" spans="1:2">
      <c r="A376" t="s">
        <v>118</v>
      </c>
    </row>
    <row r="377" spans="1:2">
      <c r="A377" t="s">
        <v>300</v>
      </c>
      <c r="B377" t="s">
        <v>90</v>
      </c>
    </row>
    <row r="378" spans="1:2">
      <c r="A378" t="s">
        <v>163</v>
      </c>
      <c r="B378" t="s">
        <v>91</v>
      </c>
    </row>
    <row r="379" spans="1:2">
      <c r="B379" t="s">
        <v>92</v>
      </c>
    </row>
    <row r="380" spans="1:2">
      <c r="A380" t="s">
        <v>163</v>
      </c>
    </row>
  </sheetData>
  <phoneticPr fontId="9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2:E428"/>
  <sheetViews>
    <sheetView showGridLines="0" workbookViewId="0">
      <selection activeCell="A18" sqref="A18"/>
    </sheetView>
  </sheetViews>
  <sheetFormatPr defaultRowHeight="20.25" customHeight="1"/>
  <cols>
    <col min="1" max="1" width="60.5" style="5" customWidth="1"/>
    <col min="2" max="5" width="13.125" style="6" customWidth="1"/>
    <col min="6" max="16384" width="9" style="6"/>
  </cols>
  <sheetData>
    <row r="2" spans="1:5" ht="20.25" customHeight="1">
      <c r="A2" s="7"/>
      <c r="B2" s="5"/>
      <c r="C2" s="5"/>
      <c r="D2" s="5"/>
      <c r="E2" s="5"/>
    </row>
    <row r="3" spans="1:5" ht="20.25" customHeight="1">
      <c r="A3" s="7"/>
      <c r="B3" s="5"/>
      <c r="C3" s="5"/>
      <c r="D3" s="5"/>
      <c r="E3" s="5"/>
    </row>
    <row r="4" spans="1:5" ht="20.25" customHeight="1">
      <c r="A4" s="7"/>
      <c r="B4" s="5"/>
      <c r="C4" s="5"/>
      <c r="D4" s="5"/>
      <c r="E4" s="5"/>
    </row>
    <row r="5" spans="1:5" ht="20.25" customHeight="1">
      <c r="A5" s="7"/>
    </row>
    <row r="8" spans="1:5" ht="20.25" customHeight="1">
      <c r="A8" s="7"/>
      <c r="B8" s="5"/>
      <c r="C8" s="5"/>
      <c r="D8" s="5"/>
      <c r="E8" s="5"/>
    </row>
    <row r="9" spans="1:5" ht="20.25" customHeight="1">
      <c r="A9" s="7"/>
    </row>
    <row r="12" spans="1:5" ht="20.25" customHeight="1">
      <c r="A12" s="7"/>
      <c r="B12" s="5"/>
      <c r="C12" s="5"/>
      <c r="D12" s="5"/>
      <c r="E12" s="5"/>
    </row>
    <row r="13" spans="1:5" ht="20.25" customHeight="1">
      <c r="A13" s="7"/>
    </row>
    <row r="16" spans="1:5" ht="20.25" customHeight="1">
      <c r="A16" s="7"/>
      <c r="B16" s="5"/>
      <c r="C16" s="5"/>
      <c r="D16" s="5"/>
      <c r="E16" s="5"/>
    </row>
    <row r="17" spans="1:5" ht="20.25" customHeight="1">
      <c r="A17" s="7"/>
    </row>
    <row r="20" spans="1:5" ht="20.25" customHeight="1">
      <c r="A20" s="7"/>
      <c r="B20" s="5"/>
      <c r="C20" s="5"/>
      <c r="D20" s="5"/>
      <c r="E20" s="5"/>
    </row>
    <row r="21" spans="1:5" ht="20.25" customHeight="1">
      <c r="A21" s="7"/>
    </row>
    <row r="24" spans="1:5" ht="20.25" customHeight="1">
      <c r="A24" s="7"/>
      <c r="B24" s="5"/>
      <c r="C24" s="5"/>
      <c r="D24" s="5"/>
      <c r="E24" s="5"/>
    </row>
    <row r="25" spans="1:5" ht="20.25" customHeight="1">
      <c r="A25" s="7"/>
    </row>
    <row r="28" spans="1:5" ht="20.25" customHeight="1">
      <c r="A28" s="7"/>
      <c r="B28" s="5"/>
      <c r="C28" s="5"/>
      <c r="D28" s="5"/>
      <c r="E28" s="5"/>
    </row>
    <row r="29" spans="1:5" ht="20.25" customHeight="1">
      <c r="A29" s="7"/>
    </row>
    <row r="32" spans="1:5" ht="20.25" customHeight="1">
      <c r="A32" s="7"/>
      <c r="B32" s="5"/>
      <c r="C32" s="5"/>
      <c r="D32" s="5"/>
      <c r="E32" s="5"/>
    </row>
    <row r="33" spans="1:5" ht="20.25" customHeight="1">
      <c r="A33" s="7"/>
    </row>
    <row r="36" spans="1:5" ht="20.25" customHeight="1">
      <c r="A36" s="7"/>
      <c r="B36" s="5"/>
      <c r="C36" s="5"/>
      <c r="D36" s="5"/>
      <c r="E36" s="5"/>
    </row>
    <row r="37" spans="1:5" ht="20.25" customHeight="1">
      <c r="A37" s="7"/>
    </row>
    <row r="40" spans="1:5" ht="20.25" customHeight="1">
      <c r="A40" s="7"/>
      <c r="B40" s="5"/>
      <c r="C40" s="5"/>
      <c r="D40" s="5"/>
      <c r="E40" s="5"/>
    </row>
    <row r="41" spans="1:5" ht="20.25" customHeight="1">
      <c r="A41" s="7"/>
    </row>
    <row r="44" spans="1:5" ht="20.25" customHeight="1">
      <c r="A44" s="7"/>
      <c r="B44" s="5"/>
      <c r="C44" s="5"/>
      <c r="D44" s="5"/>
      <c r="E44" s="5"/>
    </row>
    <row r="45" spans="1:5" ht="20.25" customHeight="1">
      <c r="A45" s="7"/>
    </row>
    <row r="48" spans="1:5" ht="20.25" customHeight="1">
      <c r="A48" s="7"/>
      <c r="B48" s="5"/>
      <c r="C48" s="5"/>
      <c r="D48" s="5"/>
      <c r="E48" s="5"/>
    </row>
    <row r="49" spans="1:5" ht="20.25" customHeight="1">
      <c r="A49" s="7"/>
    </row>
    <row r="52" spans="1:5" ht="20.25" customHeight="1">
      <c r="A52" s="7"/>
      <c r="B52" s="5"/>
      <c r="C52" s="5"/>
      <c r="D52" s="5"/>
      <c r="E52" s="5"/>
    </row>
    <row r="53" spans="1:5" ht="20.25" customHeight="1">
      <c r="A53" s="7"/>
    </row>
    <row r="56" spans="1:5" ht="20.25" customHeight="1">
      <c r="A56" s="7"/>
      <c r="B56" s="5"/>
      <c r="C56" s="5"/>
      <c r="D56" s="5"/>
      <c r="E56" s="5"/>
    </row>
    <row r="57" spans="1:5" ht="20.25" customHeight="1">
      <c r="A57" s="7"/>
    </row>
    <row r="60" spans="1:5" ht="20.25" customHeight="1">
      <c r="A60" s="7"/>
      <c r="B60" s="5"/>
      <c r="C60" s="5"/>
      <c r="D60" s="5"/>
      <c r="E60" s="5"/>
    </row>
    <row r="61" spans="1:5" ht="20.25" customHeight="1">
      <c r="A61" s="7"/>
    </row>
    <row r="64" spans="1:5" ht="20.25" customHeight="1">
      <c r="A64" s="7"/>
      <c r="B64" s="5"/>
      <c r="C64" s="5"/>
      <c r="D64" s="5"/>
      <c r="E64" s="5"/>
    </row>
    <row r="65" spans="1:5" ht="20.25" customHeight="1">
      <c r="A65" s="7"/>
      <c r="B65" s="5"/>
      <c r="C65" s="5"/>
      <c r="D65" s="5"/>
      <c r="E65" s="5"/>
    </row>
    <row r="68" spans="1:5" ht="20.25" customHeight="1">
      <c r="A68" s="7"/>
    </row>
    <row r="69" spans="1:5" ht="20.25" customHeight="1">
      <c r="A69" s="7"/>
      <c r="B69" s="5"/>
      <c r="C69" s="5"/>
      <c r="D69" s="5"/>
      <c r="E69" s="5"/>
    </row>
    <row r="72" spans="1:5" ht="20.25" customHeight="1">
      <c r="A72" s="7"/>
    </row>
    <row r="73" spans="1:5" ht="20.25" customHeight="1">
      <c r="A73" s="7"/>
      <c r="B73" s="5"/>
      <c r="C73" s="5"/>
      <c r="D73" s="5"/>
      <c r="E73" s="5"/>
    </row>
    <row r="76" spans="1:5" ht="20.25" customHeight="1">
      <c r="A76" s="7"/>
    </row>
    <row r="77" spans="1:5" ht="20.25" customHeight="1">
      <c r="A77" s="7"/>
      <c r="B77" s="5"/>
      <c r="C77" s="5"/>
      <c r="D77" s="5"/>
      <c r="E77" s="5"/>
    </row>
    <row r="80" spans="1:5" ht="20.25" customHeight="1">
      <c r="A80" s="7"/>
    </row>
    <row r="81" spans="1:5" ht="20.25" customHeight="1">
      <c r="A81" s="7"/>
      <c r="B81" s="5"/>
      <c r="C81" s="5"/>
      <c r="D81" s="5"/>
      <c r="E81" s="5"/>
    </row>
    <row r="84" spans="1:5" ht="20.25" customHeight="1">
      <c r="A84" s="7"/>
    </row>
    <row r="85" spans="1:5" ht="20.25" customHeight="1">
      <c r="A85" s="7"/>
      <c r="B85" s="5"/>
      <c r="C85" s="5"/>
      <c r="D85" s="5"/>
      <c r="E85" s="5"/>
    </row>
    <row r="88" spans="1:5" ht="20.25" customHeight="1">
      <c r="A88" s="7"/>
    </row>
    <row r="89" spans="1:5" ht="20.25" customHeight="1">
      <c r="A89" s="7"/>
      <c r="B89" s="5"/>
      <c r="C89" s="5"/>
      <c r="D89" s="5"/>
      <c r="E89" s="5"/>
    </row>
    <row r="92" spans="1:5" ht="20.25" customHeight="1">
      <c r="A92" s="7"/>
    </row>
    <row r="93" spans="1:5" ht="20.25" customHeight="1">
      <c r="A93" s="7"/>
      <c r="B93" s="5"/>
      <c r="C93" s="5"/>
      <c r="D93" s="5"/>
      <c r="E93" s="5"/>
    </row>
    <row r="96" spans="1:5" ht="20.25" customHeight="1">
      <c r="A96" s="7"/>
    </row>
    <row r="97" spans="1:5" ht="20.25" customHeight="1">
      <c r="A97" s="7"/>
      <c r="B97" s="5"/>
      <c r="C97" s="5"/>
      <c r="D97" s="5"/>
      <c r="E97" s="5"/>
    </row>
    <row r="100" spans="1:5" ht="20.25" customHeight="1">
      <c r="A100" s="7"/>
    </row>
    <row r="101" spans="1:5" ht="20.25" customHeight="1">
      <c r="A101" s="7"/>
      <c r="B101" s="5"/>
      <c r="C101" s="5"/>
      <c r="D101" s="5"/>
      <c r="E101" s="5"/>
    </row>
    <row r="104" spans="1:5" ht="20.25" customHeight="1">
      <c r="A104" s="7"/>
    </row>
    <row r="105" spans="1:5" ht="20.25" customHeight="1">
      <c r="A105" s="7"/>
      <c r="B105" s="5"/>
      <c r="C105" s="5"/>
      <c r="D105" s="5"/>
      <c r="E105" s="5"/>
    </row>
    <row r="108" spans="1:5" ht="20.25" customHeight="1">
      <c r="A108" s="7"/>
    </row>
    <row r="109" spans="1:5" ht="20.25" customHeight="1">
      <c r="A109" s="7"/>
    </row>
    <row r="110" spans="1:5" ht="20.25" customHeight="1">
      <c r="B110" s="5"/>
      <c r="C110" s="5"/>
      <c r="D110" s="5"/>
      <c r="E110" s="5"/>
    </row>
    <row r="112" spans="1:5" ht="20.25" customHeight="1">
      <c r="A112" s="7"/>
    </row>
    <row r="113" spans="1:5" ht="20.25" customHeight="1">
      <c r="A113" s="7"/>
    </row>
    <row r="114" spans="1:5" ht="20.25" customHeight="1">
      <c r="B114" s="5"/>
      <c r="C114" s="5"/>
      <c r="D114" s="5"/>
      <c r="E114" s="5"/>
    </row>
    <row r="116" spans="1:5" ht="20.25" customHeight="1">
      <c r="A116" s="7"/>
    </row>
    <row r="117" spans="1:5" ht="20.25" customHeight="1">
      <c r="A117" s="7"/>
    </row>
    <row r="118" spans="1:5" ht="20.25" customHeight="1">
      <c r="B118" s="5"/>
      <c r="C118" s="5"/>
      <c r="D118" s="5"/>
      <c r="E118" s="5"/>
    </row>
    <row r="120" spans="1:5" ht="30.75" customHeight="1">
      <c r="A120" s="7"/>
    </row>
    <row r="121" spans="1:5" ht="20.25" customHeight="1">
      <c r="A121" s="7"/>
    </row>
    <row r="122" spans="1:5" ht="20.25" customHeight="1">
      <c r="B122" s="5"/>
      <c r="C122" s="5"/>
      <c r="D122" s="5"/>
      <c r="E122" s="5"/>
    </row>
    <row r="124" spans="1:5" ht="20.25" customHeight="1">
      <c r="A124" s="7"/>
    </row>
    <row r="125" spans="1:5" ht="20.25" customHeight="1">
      <c r="A125" s="7"/>
    </row>
    <row r="126" spans="1:5" ht="20.25" customHeight="1">
      <c r="B126" s="5"/>
      <c r="C126" s="5"/>
      <c r="D126" s="5"/>
      <c r="E126" s="5"/>
    </row>
    <row r="128" spans="1:5" ht="20.25" customHeight="1">
      <c r="A128" s="7"/>
    </row>
    <row r="129" spans="1:1" ht="20.25" customHeight="1">
      <c r="A129" s="7"/>
    </row>
    <row r="132" spans="1:1" ht="20.25" customHeight="1">
      <c r="A132" s="7"/>
    </row>
    <row r="133" spans="1:1" ht="35.25" customHeight="1">
      <c r="A133" s="7"/>
    </row>
    <row r="136" spans="1:1" ht="20.25" customHeight="1">
      <c r="A136" s="7"/>
    </row>
    <row r="137" spans="1:1" ht="20.25" customHeight="1">
      <c r="A137" s="7"/>
    </row>
    <row r="140" spans="1:1" ht="20.25" customHeight="1">
      <c r="A140" s="7"/>
    </row>
    <row r="141" spans="1:1" ht="20.25" customHeight="1">
      <c r="A141" s="7"/>
    </row>
    <row r="144" spans="1:1" ht="20.25" customHeight="1">
      <c r="A144" s="7"/>
    </row>
    <row r="147" spans="1:1" ht="20.25" customHeight="1">
      <c r="A147" s="7"/>
    </row>
    <row r="148" spans="1:1" ht="20.25" customHeight="1">
      <c r="A148" s="7"/>
    </row>
    <row r="151" spans="1:1" ht="20.25" customHeight="1">
      <c r="A151" s="7"/>
    </row>
    <row r="152" spans="1:1" ht="20.25" customHeight="1">
      <c r="A152" s="7"/>
    </row>
    <row r="155" spans="1:1" ht="20.25" customHeight="1">
      <c r="A155" s="7"/>
    </row>
    <row r="156" spans="1:1" ht="20.25" customHeight="1">
      <c r="A156" s="7"/>
    </row>
    <row r="159" spans="1:1" ht="20.25" customHeight="1">
      <c r="A159" s="7"/>
    </row>
    <row r="160" spans="1:1" ht="20.25" customHeight="1">
      <c r="A160" s="7"/>
    </row>
    <row r="163" spans="1:1" ht="20.25" customHeight="1">
      <c r="A163" s="7"/>
    </row>
    <row r="164" spans="1:1" ht="20.25" customHeight="1">
      <c r="A164" s="7"/>
    </row>
    <row r="167" spans="1:1" ht="20.25" customHeight="1">
      <c r="A167" s="7"/>
    </row>
    <row r="168" spans="1:1" ht="20.25" customHeight="1">
      <c r="A168" s="7"/>
    </row>
    <row r="171" spans="1:1" ht="20.25" customHeight="1">
      <c r="A171" s="7"/>
    </row>
    <row r="172" spans="1:1" ht="20.25" customHeight="1">
      <c r="A172" s="7"/>
    </row>
    <row r="175" spans="1:1" ht="20.25" customHeight="1">
      <c r="A175" s="7"/>
    </row>
    <row r="176" spans="1:1" ht="20.25" customHeight="1">
      <c r="A176" s="7"/>
    </row>
    <row r="179" spans="1:1" ht="20.25" customHeight="1">
      <c r="A179" s="7"/>
    </row>
    <row r="180" spans="1:1" ht="20.25" customHeight="1">
      <c r="A180" s="7"/>
    </row>
    <row r="183" spans="1:1" ht="20.25" customHeight="1">
      <c r="A183" s="7"/>
    </row>
    <row r="184" spans="1:1" ht="20.25" customHeight="1">
      <c r="A184" s="7"/>
    </row>
    <row r="187" spans="1:1" ht="20.25" customHeight="1">
      <c r="A187" s="7"/>
    </row>
    <row r="188" spans="1:1" ht="20.25" customHeight="1">
      <c r="A188" s="7"/>
    </row>
    <row r="191" spans="1:1" ht="20.25" customHeight="1">
      <c r="A191" s="7"/>
    </row>
    <row r="192" spans="1:1" ht="20.25" customHeight="1">
      <c r="A192" s="7"/>
    </row>
    <row r="195" spans="1:1" ht="20.25" customHeight="1">
      <c r="A195" s="7"/>
    </row>
    <row r="196" spans="1:1" ht="20.25" customHeight="1">
      <c r="A196" s="7"/>
    </row>
    <row r="199" spans="1:1" ht="20.25" customHeight="1">
      <c r="A199" s="7"/>
    </row>
    <row r="200" spans="1:1" ht="20.25" customHeight="1">
      <c r="A200" s="7"/>
    </row>
    <row r="203" spans="1:1" ht="20.25" customHeight="1">
      <c r="A203" s="7"/>
    </row>
    <row r="204" spans="1:1" ht="20.25" customHeight="1">
      <c r="A204" s="7"/>
    </row>
    <row r="207" spans="1:1" ht="20.25" customHeight="1">
      <c r="A207" s="7"/>
    </row>
    <row r="208" spans="1:1" ht="20.25" customHeight="1">
      <c r="A208" s="7"/>
    </row>
    <row r="211" spans="1:1" ht="20.25" customHeight="1">
      <c r="A211" s="7"/>
    </row>
    <row r="212" spans="1:1" ht="20.25" customHeight="1">
      <c r="A212" s="7"/>
    </row>
    <row r="215" spans="1:1" ht="20.25" customHeight="1">
      <c r="A215" s="7"/>
    </row>
    <row r="216" spans="1:1" ht="20.25" customHeight="1">
      <c r="A216" s="7"/>
    </row>
    <row r="217" spans="1:1" ht="20.25" customHeight="1">
      <c r="A217" s="7"/>
    </row>
    <row r="220" spans="1:1" ht="20.25" customHeight="1">
      <c r="A220" s="7"/>
    </row>
    <row r="221" spans="1:1" ht="20.25" customHeight="1">
      <c r="A221" s="7"/>
    </row>
    <row r="224" spans="1:1" ht="20.25" customHeight="1">
      <c r="A224" s="7"/>
    </row>
    <row r="225" spans="1:1" ht="20.25" customHeight="1">
      <c r="A225" s="7"/>
    </row>
    <row r="228" spans="1:1" ht="20.25" customHeight="1">
      <c r="A228" s="7"/>
    </row>
    <row r="229" spans="1:1" ht="20.25" customHeight="1">
      <c r="A229" s="7"/>
    </row>
    <row r="232" spans="1:1" ht="20.25" customHeight="1">
      <c r="A232" s="7"/>
    </row>
    <row r="233" spans="1:1" ht="20.25" customHeight="1">
      <c r="A233" s="7"/>
    </row>
    <row r="236" spans="1:1" ht="20.25" customHeight="1">
      <c r="A236" s="7"/>
    </row>
    <row r="237" spans="1:1" ht="20.25" customHeight="1">
      <c r="A237" s="7"/>
    </row>
    <row r="240" spans="1:1" ht="20.25" customHeight="1">
      <c r="A240" s="7"/>
    </row>
    <row r="241" spans="1:1" ht="20.25" customHeight="1">
      <c r="A241" s="7"/>
    </row>
    <row r="244" spans="1:1" ht="20.25" customHeight="1">
      <c r="A244" s="7"/>
    </row>
    <row r="245" spans="1:1" ht="20.25" customHeight="1">
      <c r="A245" s="7"/>
    </row>
    <row r="248" spans="1:1" ht="20.25" customHeight="1">
      <c r="A248" s="7"/>
    </row>
    <row r="249" spans="1:1" ht="20.25" customHeight="1">
      <c r="A249" s="7"/>
    </row>
    <row r="252" spans="1:1" ht="20.25" customHeight="1">
      <c r="A252" s="7"/>
    </row>
    <row r="253" spans="1:1" ht="20.25" customHeight="1">
      <c r="A253" s="7"/>
    </row>
    <row r="256" spans="1:1" ht="20.25" customHeight="1">
      <c r="A256" s="7"/>
    </row>
    <row r="257" spans="1:1" ht="20.25" customHeight="1">
      <c r="A257" s="7"/>
    </row>
    <row r="260" spans="1:1" ht="20.25" customHeight="1">
      <c r="A260" s="7"/>
    </row>
    <row r="261" spans="1:1" ht="20.25" customHeight="1">
      <c r="A261" s="7"/>
    </row>
    <row r="264" spans="1:1" ht="20.25" customHeight="1">
      <c r="A264" s="7"/>
    </row>
    <row r="265" spans="1:1" ht="20.25" customHeight="1">
      <c r="A265" s="7"/>
    </row>
    <row r="268" spans="1:1" ht="20.25" customHeight="1">
      <c r="A268" s="7"/>
    </row>
    <row r="269" spans="1:1" ht="20.25" customHeight="1">
      <c r="A269" s="7"/>
    </row>
    <row r="272" spans="1:1" ht="20.25" customHeight="1">
      <c r="A272" s="7"/>
    </row>
    <row r="273" spans="1:1" ht="20.25" customHeight="1">
      <c r="A273" s="7"/>
    </row>
    <row r="276" spans="1:1" ht="20.25" customHeight="1">
      <c r="A276" s="7"/>
    </row>
    <row r="277" spans="1:1" ht="20.25" customHeight="1">
      <c r="A277" s="7"/>
    </row>
    <row r="280" spans="1:1" ht="20.25" customHeight="1">
      <c r="A280" s="7"/>
    </row>
    <row r="281" spans="1:1" ht="20.25" customHeight="1">
      <c r="A281" s="7"/>
    </row>
    <row r="284" spans="1:1" ht="20.25" customHeight="1">
      <c r="A284" s="7"/>
    </row>
    <row r="285" spans="1:1" ht="20.25" customHeight="1">
      <c r="A285" s="7"/>
    </row>
    <row r="288" spans="1:1" ht="20.25" customHeight="1">
      <c r="A288" s="7"/>
    </row>
    <row r="289" spans="1:1" ht="20.25" customHeight="1">
      <c r="A289" s="7"/>
    </row>
    <row r="292" spans="1:1" ht="20.25" customHeight="1">
      <c r="A292" s="7"/>
    </row>
    <row r="293" spans="1:1" ht="20.25" customHeight="1">
      <c r="A293" s="7"/>
    </row>
    <row r="296" spans="1:1" ht="20.25" customHeight="1">
      <c r="A296" s="7"/>
    </row>
    <row r="297" spans="1:1" ht="20.25" customHeight="1">
      <c r="A297" s="7"/>
    </row>
    <row r="300" spans="1:1" ht="20.25" customHeight="1">
      <c r="A300" s="7"/>
    </row>
    <row r="301" spans="1:1" ht="20.25" customHeight="1">
      <c r="A301" s="7"/>
    </row>
    <row r="304" spans="1:1" ht="20.25" customHeight="1">
      <c r="A304" s="7"/>
    </row>
    <row r="305" spans="1:1" ht="20.25" customHeight="1">
      <c r="A305" s="7"/>
    </row>
    <row r="308" spans="1:1" ht="20.25" customHeight="1">
      <c r="A308" s="7"/>
    </row>
    <row r="309" spans="1:1" ht="20.25" customHeight="1">
      <c r="A309" s="7"/>
    </row>
    <row r="312" spans="1:1" ht="20.25" customHeight="1">
      <c r="A312" s="7"/>
    </row>
    <row r="313" spans="1:1" ht="20.25" customHeight="1">
      <c r="A313" s="7"/>
    </row>
    <row r="316" spans="1:1" ht="20.25" customHeight="1">
      <c r="A316" s="7"/>
    </row>
    <row r="317" spans="1:1" ht="20.25" customHeight="1">
      <c r="A317" s="7"/>
    </row>
    <row r="320" spans="1:1" ht="20.25" customHeight="1">
      <c r="A320" s="7"/>
    </row>
    <row r="321" spans="1:1" ht="20.25" customHeight="1">
      <c r="A321" s="7"/>
    </row>
    <row r="324" spans="1:1" ht="20.25" customHeight="1">
      <c r="A324" s="7"/>
    </row>
    <row r="325" spans="1:1" ht="20.25" customHeight="1">
      <c r="A325" s="7"/>
    </row>
    <row r="328" spans="1:1" ht="20.25" customHeight="1">
      <c r="A328" s="7"/>
    </row>
    <row r="329" spans="1:1" ht="20.25" customHeight="1">
      <c r="A329" s="7"/>
    </row>
    <row r="332" spans="1:1" ht="20.25" customHeight="1">
      <c r="A332" s="7"/>
    </row>
    <row r="333" spans="1:1" ht="20.25" customHeight="1">
      <c r="A333" s="7"/>
    </row>
    <row r="336" spans="1:1" ht="20.25" customHeight="1">
      <c r="A336" s="7"/>
    </row>
    <row r="337" spans="1:1" ht="20.25" customHeight="1">
      <c r="A337" s="7"/>
    </row>
    <row r="340" spans="1:1" ht="20.25" customHeight="1">
      <c r="A340" s="7"/>
    </row>
    <row r="341" spans="1:1" ht="20.25" customHeight="1">
      <c r="A341" s="7"/>
    </row>
    <row r="344" spans="1:1" ht="20.25" customHeight="1">
      <c r="A344" s="7"/>
    </row>
    <row r="345" spans="1:1" ht="20.25" customHeight="1">
      <c r="A345" s="7"/>
    </row>
    <row r="348" spans="1:1" ht="20.25" customHeight="1">
      <c r="A348" s="7"/>
    </row>
    <row r="349" spans="1:1" ht="20.25" customHeight="1">
      <c r="A349" s="7"/>
    </row>
    <row r="352" spans="1:1" ht="20.25" customHeight="1">
      <c r="A352" s="7"/>
    </row>
    <row r="353" spans="1:1" ht="20.25" customHeight="1">
      <c r="A353" s="7"/>
    </row>
    <row r="356" spans="1:1" ht="20.25" customHeight="1">
      <c r="A356" s="7"/>
    </row>
    <row r="357" spans="1:1" ht="20.25" customHeight="1">
      <c r="A357" s="7"/>
    </row>
    <row r="360" spans="1:1" ht="20.25" customHeight="1">
      <c r="A360" s="7"/>
    </row>
    <row r="361" spans="1:1" ht="20.25" customHeight="1">
      <c r="A361" s="7"/>
    </row>
    <row r="364" spans="1:1" ht="20.25" customHeight="1">
      <c r="A364" s="7"/>
    </row>
    <row r="365" spans="1:1" ht="20.25" customHeight="1">
      <c r="A365" s="7"/>
    </row>
    <row r="368" spans="1:1" ht="20.25" customHeight="1">
      <c r="A368" s="7"/>
    </row>
    <row r="369" spans="1:1" ht="20.25" customHeight="1">
      <c r="A369" s="7"/>
    </row>
    <row r="372" spans="1:1" ht="20.25" customHeight="1">
      <c r="A372" s="7"/>
    </row>
    <row r="373" spans="1:1" ht="20.25" customHeight="1">
      <c r="A373" s="7"/>
    </row>
    <row r="376" spans="1:1" ht="20.25" customHeight="1">
      <c r="A376" s="7"/>
    </row>
    <row r="377" spans="1:1" ht="20.25" customHeight="1">
      <c r="A377" s="7"/>
    </row>
    <row r="380" spans="1:1" ht="20.25" customHeight="1">
      <c r="A380" s="7"/>
    </row>
    <row r="381" spans="1:1" ht="20.25" customHeight="1">
      <c r="A381" s="7"/>
    </row>
    <row r="384" spans="1:1" ht="20.25" customHeight="1">
      <c r="A384" s="7"/>
    </row>
    <row r="385" spans="1:1" ht="20.25" customHeight="1">
      <c r="A385" s="7"/>
    </row>
    <row r="388" spans="1:1" ht="20.25" customHeight="1">
      <c r="A388" s="7"/>
    </row>
    <row r="389" spans="1:1" ht="20.25" customHeight="1">
      <c r="A389" s="7"/>
    </row>
    <row r="392" spans="1:1" ht="20.25" customHeight="1">
      <c r="A392" s="7"/>
    </row>
    <row r="393" spans="1:1" ht="20.25" customHeight="1">
      <c r="A393" s="7"/>
    </row>
    <row r="396" spans="1:1" ht="20.25" customHeight="1">
      <c r="A396" s="7"/>
    </row>
    <row r="397" spans="1:1" ht="20.25" customHeight="1">
      <c r="A397" s="7"/>
    </row>
    <row r="400" spans="1:1" ht="20.25" customHeight="1">
      <c r="A400" s="7"/>
    </row>
    <row r="401" spans="1:1" ht="20.25" customHeight="1">
      <c r="A401" s="7"/>
    </row>
    <row r="404" spans="1:1" ht="20.25" customHeight="1">
      <c r="A404" s="7"/>
    </row>
    <row r="405" spans="1:1" ht="20.25" customHeight="1">
      <c r="A405" s="7"/>
    </row>
    <row r="408" spans="1:1" ht="20.25" customHeight="1">
      <c r="A408" s="7"/>
    </row>
    <row r="409" spans="1:1" ht="20.25" customHeight="1">
      <c r="A409" s="7"/>
    </row>
    <row r="412" spans="1:1" ht="20.25" customHeight="1">
      <c r="A412" s="7"/>
    </row>
    <row r="413" spans="1:1" ht="20.25" customHeight="1">
      <c r="A413" s="7"/>
    </row>
    <row r="416" spans="1:1" ht="20.25" customHeight="1">
      <c r="A416" s="7"/>
    </row>
    <row r="417" spans="1:1" ht="20.25" customHeight="1">
      <c r="A417" s="7"/>
    </row>
    <row r="420" spans="1:1" ht="20.25" customHeight="1">
      <c r="A420" s="7"/>
    </row>
    <row r="421" spans="1:1" ht="20.25" customHeight="1">
      <c r="A421" s="7"/>
    </row>
    <row r="424" spans="1:1" ht="20.25" customHeight="1">
      <c r="A424" s="7"/>
    </row>
    <row r="425" spans="1:1" ht="20.25" customHeight="1">
      <c r="A425" s="7"/>
    </row>
    <row r="428" spans="1:1" ht="20.25" customHeight="1">
      <c r="A428" s="7"/>
    </row>
  </sheetData>
  <phoneticPr fontId="9" type="noConversion"/>
  <printOptions horizontalCentered="1" verticalCentered="1"/>
  <pageMargins left="0.94444444444444442" right="0.74791666666666667" top="0.98402777777777772" bottom="0.98402777777777772" header="0.51180555555555551" footer="0.51180555555555551"/>
  <pageSetup paperSize="9" orientation="portrait" horizontalDpi="200" verticalDpi="200"/>
  <headerFooter alignWithMargins="0"/>
  <rowBreaks count="1" manualBreakCount="1">
    <brk id="129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5"/>
  <dimension ref="A1:I1994"/>
  <sheetViews>
    <sheetView showGridLines="0" workbookViewId="0">
      <selection activeCell="G6" sqref="G6"/>
    </sheetView>
  </sheetViews>
  <sheetFormatPr defaultColWidth="9" defaultRowHeight="14.25"/>
  <sheetData>
    <row r="1" spans="1:9" ht="24.75" customHeight="1">
      <c r="A1" s="325"/>
      <c r="B1" s="325"/>
      <c r="C1" s="325"/>
      <c r="D1" s="325"/>
      <c r="E1" s="325"/>
      <c r="F1" s="325"/>
      <c r="G1" s="325"/>
      <c r="H1" s="325"/>
      <c r="I1" s="325"/>
    </row>
    <row r="2" spans="1:9">
      <c r="A2" s="1"/>
      <c r="B2" t="s">
        <v>802</v>
      </c>
      <c r="H2" t="s">
        <v>804</v>
      </c>
    </row>
    <row r="3" spans="1:9">
      <c r="A3" s="2" t="s">
        <v>805</v>
      </c>
      <c r="B3" s="2" t="s">
        <v>811</v>
      </c>
      <c r="C3" s="2" t="s">
        <v>813</v>
      </c>
      <c r="D3" s="2" t="s">
        <v>816</v>
      </c>
      <c r="E3" s="2" t="s">
        <v>819</v>
      </c>
      <c r="F3" s="2" t="s">
        <v>821</v>
      </c>
      <c r="G3" s="2" t="s">
        <v>824</v>
      </c>
      <c r="H3" s="2" t="s">
        <v>827</v>
      </c>
      <c r="I3" s="2" t="s">
        <v>167</v>
      </c>
    </row>
    <row r="4" spans="1:9">
      <c r="A4" s="2" t="s">
        <v>806</v>
      </c>
      <c r="B4" s="2"/>
      <c r="C4" s="2"/>
      <c r="D4" s="2"/>
      <c r="E4" s="2"/>
      <c r="F4" s="2"/>
      <c r="G4" s="2"/>
      <c r="H4" s="2"/>
      <c r="I4" s="2"/>
    </row>
    <row r="5" spans="1:9">
      <c r="A5" s="2" t="s">
        <v>807</v>
      </c>
      <c r="B5" s="2"/>
      <c r="C5" s="2"/>
      <c r="D5" s="2"/>
      <c r="E5" s="190"/>
      <c r="F5" s="2"/>
      <c r="G5" s="2"/>
      <c r="H5" s="2"/>
      <c r="I5" s="2"/>
    </row>
    <row r="6" spans="1:9">
      <c r="A6" s="2" t="s">
        <v>808</v>
      </c>
      <c r="B6" s="2"/>
      <c r="C6" s="2"/>
      <c r="D6" s="2"/>
      <c r="E6" s="2"/>
      <c r="F6" s="190"/>
      <c r="G6" s="2"/>
      <c r="H6" s="2"/>
      <c r="I6" s="2"/>
    </row>
    <row r="7" spans="1:9">
      <c r="A7" s="2" t="s">
        <v>809</v>
      </c>
      <c r="B7" s="2"/>
      <c r="C7" s="2"/>
      <c r="D7" s="2"/>
      <c r="E7" s="2"/>
      <c r="F7" s="2"/>
      <c r="G7" s="2"/>
      <c r="H7" s="2"/>
      <c r="I7" s="2"/>
    </row>
    <row r="8" spans="1:9">
      <c r="A8" s="2" t="s">
        <v>810</v>
      </c>
      <c r="B8" s="2"/>
      <c r="C8" s="2"/>
      <c r="D8" s="2"/>
      <c r="E8" s="2"/>
      <c r="F8" s="2"/>
      <c r="G8" s="2"/>
      <c r="H8" s="2"/>
      <c r="I8" s="2"/>
    </row>
    <row r="9" spans="1:9" ht="18.75" customHeight="1">
      <c r="A9" s="3"/>
      <c r="B9" s="3"/>
      <c r="C9" s="3"/>
      <c r="D9" s="3"/>
      <c r="E9" s="3"/>
      <c r="F9" s="3"/>
      <c r="G9" s="3"/>
      <c r="H9" s="3"/>
      <c r="I9" s="3"/>
    </row>
    <row r="11" spans="1:9">
      <c r="A11" s="4"/>
      <c r="B11" s="4"/>
      <c r="C11" s="4"/>
      <c r="D11" s="4"/>
      <c r="E11" s="4"/>
      <c r="F11" s="4"/>
      <c r="G11" s="4"/>
      <c r="H11" s="4"/>
      <c r="I11" s="4"/>
    </row>
    <row r="12" spans="1:9">
      <c r="A12" s="1"/>
      <c r="B12" t="s">
        <v>802</v>
      </c>
      <c r="H12" t="s">
        <v>831</v>
      </c>
    </row>
    <row r="13" spans="1:9">
      <c r="A13" s="2" t="s">
        <v>805</v>
      </c>
      <c r="B13" s="2" t="s">
        <v>975</v>
      </c>
      <c r="C13" s="2" t="s">
        <v>816</v>
      </c>
      <c r="D13" s="2" t="s">
        <v>819</v>
      </c>
      <c r="E13" s="2" t="s">
        <v>821</v>
      </c>
      <c r="F13" s="2" t="s">
        <v>824</v>
      </c>
      <c r="G13" s="2" t="s">
        <v>827</v>
      </c>
      <c r="H13" s="2" t="s">
        <v>827</v>
      </c>
      <c r="I13" s="2" t="s">
        <v>167</v>
      </c>
    </row>
    <row r="14" spans="1:9">
      <c r="A14" s="2" t="s">
        <v>806</v>
      </c>
      <c r="B14" s="2">
        <v>1121</v>
      </c>
      <c r="C14" s="2">
        <v>1304</v>
      </c>
      <c r="D14" s="2">
        <v>1503</v>
      </c>
      <c r="E14" s="2">
        <v>1191</v>
      </c>
      <c r="F14" s="2">
        <v>1213</v>
      </c>
      <c r="G14" s="2">
        <v>1264</v>
      </c>
      <c r="H14" s="2">
        <v>1273</v>
      </c>
      <c r="I14" s="2">
        <v>1265</v>
      </c>
    </row>
    <row r="15" spans="1:9">
      <c r="A15" s="2" t="s">
        <v>807</v>
      </c>
      <c r="B15" s="2" t="s">
        <v>832</v>
      </c>
      <c r="C15" s="2"/>
      <c r="D15" s="2" t="s">
        <v>687</v>
      </c>
      <c r="E15" s="2" t="s">
        <v>835</v>
      </c>
      <c r="F15" s="2" t="s">
        <v>837</v>
      </c>
      <c r="G15" s="2" t="s">
        <v>839</v>
      </c>
      <c r="H15" s="2" t="s">
        <v>841</v>
      </c>
      <c r="I15" s="2" t="s">
        <v>168</v>
      </c>
    </row>
    <row r="16" spans="1:9">
      <c r="A16" s="2" t="s">
        <v>808</v>
      </c>
      <c r="B16" s="2" t="s">
        <v>812</v>
      </c>
      <c r="C16" s="2" t="s">
        <v>833</v>
      </c>
      <c r="D16" s="2" t="s">
        <v>834</v>
      </c>
      <c r="E16" s="2" t="s">
        <v>836</v>
      </c>
      <c r="F16" s="2" t="s">
        <v>838</v>
      </c>
      <c r="G16" s="2" t="s">
        <v>840</v>
      </c>
      <c r="H16" s="2" t="s">
        <v>829</v>
      </c>
      <c r="I16" s="2" t="s">
        <v>169</v>
      </c>
    </row>
    <row r="17" spans="1:9">
      <c r="A17" s="2" t="s">
        <v>809</v>
      </c>
      <c r="B17" s="2"/>
      <c r="C17" s="2"/>
      <c r="D17" s="2"/>
      <c r="E17" s="2"/>
      <c r="F17" s="2"/>
      <c r="G17" s="2"/>
      <c r="H17" s="2"/>
      <c r="I17" s="2"/>
    </row>
    <row r="18" spans="1:9">
      <c r="A18" s="2" t="s">
        <v>810</v>
      </c>
      <c r="B18" s="2"/>
      <c r="C18" s="2"/>
      <c r="D18" s="2"/>
      <c r="E18" s="2"/>
      <c r="F18" s="2"/>
      <c r="G18" s="2"/>
      <c r="H18" s="2"/>
      <c r="I18" s="2"/>
    </row>
    <row r="20" spans="1:9" ht="24.75" customHeight="1">
      <c r="A20" s="4"/>
      <c r="B20" s="4"/>
      <c r="C20" s="4"/>
      <c r="D20" s="4"/>
      <c r="E20" s="4"/>
      <c r="F20" s="4"/>
      <c r="G20" s="4"/>
      <c r="H20" s="4"/>
      <c r="I20" s="4"/>
    </row>
    <row r="21" spans="1:9" ht="24.75" customHeight="1">
      <c r="A21" s="4"/>
      <c r="B21" s="4"/>
      <c r="C21" s="4"/>
      <c r="D21" s="4"/>
      <c r="E21" s="4"/>
      <c r="F21" s="4"/>
      <c r="G21" s="4"/>
      <c r="H21" s="4"/>
      <c r="I21" s="4"/>
    </row>
    <row r="22" spans="1:9">
      <c r="A22" s="1"/>
      <c r="B22" t="s">
        <v>802</v>
      </c>
      <c r="H22" t="s">
        <v>843</v>
      </c>
    </row>
    <row r="23" spans="1:9">
      <c r="A23" s="2" t="s">
        <v>805</v>
      </c>
      <c r="B23" s="2" t="s">
        <v>975</v>
      </c>
      <c r="C23" s="2" t="s">
        <v>816</v>
      </c>
      <c r="D23" s="2" t="s">
        <v>819</v>
      </c>
      <c r="E23" s="2" t="s">
        <v>821</v>
      </c>
      <c r="F23" s="2" t="s">
        <v>824</v>
      </c>
      <c r="G23" s="2" t="s">
        <v>827</v>
      </c>
      <c r="H23" s="2" t="s">
        <v>827</v>
      </c>
      <c r="I23" s="2"/>
    </row>
    <row r="24" spans="1:9">
      <c r="A24" s="2" t="s">
        <v>806</v>
      </c>
      <c r="B24" s="2">
        <v>1131</v>
      </c>
      <c r="C24" s="2">
        <v>1308</v>
      </c>
      <c r="D24" s="2">
        <v>1201</v>
      </c>
      <c r="E24" s="2">
        <v>1271</v>
      </c>
      <c r="F24" s="2">
        <v>1241</v>
      </c>
      <c r="G24" s="2">
        <v>1294</v>
      </c>
      <c r="H24" s="2">
        <v>1281</v>
      </c>
      <c r="I24" s="2"/>
    </row>
    <row r="25" spans="1:9">
      <c r="A25" s="2" t="s">
        <v>807</v>
      </c>
      <c r="B25" s="2" t="s">
        <v>844</v>
      </c>
      <c r="C25" s="2"/>
      <c r="D25" s="2" t="s">
        <v>691</v>
      </c>
      <c r="E25" s="2" t="s">
        <v>846</v>
      </c>
      <c r="F25" s="2" t="s">
        <v>847</v>
      </c>
      <c r="G25" s="2" t="s">
        <v>849</v>
      </c>
      <c r="H25" s="2" t="s">
        <v>850</v>
      </c>
      <c r="I25" s="2"/>
    </row>
    <row r="26" spans="1:9">
      <c r="A26" s="2" t="s">
        <v>808</v>
      </c>
      <c r="B26" s="2" t="s">
        <v>815</v>
      </c>
      <c r="C26" s="2" t="s">
        <v>833</v>
      </c>
      <c r="D26" s="2" t="s">
        <v>845</v>
      </c>
      <c r="E26" s="2" t="s">
        <v>823</v>
      </c>
      <c r="F26" s="2" t="s">
        <v>848</v>
      </c>
      <c r="G26" s="2" t="s">
        <v>829</v>
      </c>
      <c r="H26" s="2" t="s">
        <v>829</v>
      </c>
      <c r="I26" s="2"/>
    </row>
    <row r="27" spans="1:9">
      <c r="A27" s="2" t="s">
        <v>809</v>
      </c>
      <c r="B27" s="2"/>
      <c r="C27" s="2"/>
      <c r="D27" s="2"/>
      <c r="E27" s="2"/>
      <c r="F27" s="2"/>
      <c r="G27" s="2"/>
      <c r="H27" s="2"/>
      <c r="I27" s="2"/>
    </row>
    <row r="28" spans="1:9">
      <c r="A28" s="2" t="s">
        <v>810</v>
      </c>
      <c r="B28" s="2"/>
      <c r="C28" s="2"/>
      <c r="D28" s="2"/>
      <c r="E28" s="2"/>
      <c r="F28" s="2"/>
      <c r="G28" s="2"/>
      <c r="H28" s="2"/>
      <c r="I28" s="2"/>
    </row>
    <row r="29" spans="1:9" ht="18.75" customHeight="1">
      <c r="A29" s="3"/>
      <c r="B29" s="3"/>
      <c r="C29" s="3"/>
      <c r="D29" s="3"/>
      <c r="E29" s="3"/>
      <c r="F29" s="3"/>
      <c r="G29" s="3"/>
      <c r="H29" s="3"/>
      <c r="I29" s="3"/>
    </row>
    <row r="31" spans="1:9" ht="24.75" customHeight="1">
      <c r="A31" s="4"/>
      <c r="B31" s="4"/>
      <c r="C31" s="4"/>
      <c r="D31" s="4"/>
      <c r="E31" s="4"/>
      <c r="F31" s="4"/>
      <c r="G31" s="4"/>
      <c r="H31" s="4"/>
      <c r="I31" s="4"/>
    </row>
    <row r="32" spans="1:9">
      <c r="A32" s="1"/>
      <c r="B32" t="s">
        <v>851</v>
      </c>
      <c r="H32" t="s">
        <v>804</v>
      </c>
    </row>
    <row r="33" spans="1:9">
      <c r="A33" s="2" t="s">
        <v>805</v>
      </c>
      <c r="B33" s="2" t="s">
        <v>811</v>
      </c>
      <c r="C33" s="2" t="s">
        <v>813</v>
      </c>
      <c r="D33" s="2" t="s">
        <v>816</v>
      </c>
      <c r="E33" s="2" t="s">
        <v>819</v>
      </c>
      <c r="F33" s="2" t="s">
        <v>821</v>
      </c>
      <c r="G33" s="2" t="s">
        <v>824</v>
      </c>
      <c r="H33" s="2" t="s">
        <v>827</v>
      </c>
      <c r="I33" s="2" t="s">
        <v>860</v>
      </c>
    </row>
    <row r="34" spans="1:9">
      <c r="A34" s="2" t="s">
        <v>806</v>
      </c>
      <c r="B34" s="2">
        <v>1116</v>
      </c>
      <c r="C34" s="2">
        <v>1145</v>
      </c>
      <c r="D34" s="2">
        <v>1205</v>
      </c>
      <c r="E34" s="2">
        <v>1275</v>
      </c>
      <c r="F34" s="2">
        <v>1237</v>
      </c>
      <c r="G34" s="2">
        <v>1255</v>
      </c>
      <c r="H34" s="2">
        <v>1285</v>
      </c>
      <c r="I34" s="2">
        <v>1265</v>
      </c>
    </row>
    <row r="35" spans="1:9">
      <c r="A35" s="2" t="s">
        <v>807</v>
      </c>
      <c r="B35" s="2" t="s">
        <v>852</v>
      </c>
      <c r="C35" s="2" t="s">
        <v>853</v>
      </c>
      <c r="D35" s="2" t="s">
        <v>693</v>
      </c>
      <c r="E35" s="2" t="s">
        <v>854</v>
      </c>
      <c r="F35" s="2" t="s">
        <v>855</v>
      </c>
      <c r="G35" s="2" t="s">
        <v>857</v>
      </c>
      <c r="H35" s="2" t="s">
        <v>859</v>
      </c>
      <c r="I35" s="2" t="s">
        <v>861</v>
      </c>
    </row>
    <row r="36" spans="1:9">
      <c r="A36" s="2" t="s">
        <v>808</v>
      </c>
      <c r="B36" s="2" t="s">
        <v>812</v>
      </c>
      <c r="C36" s="2" t="s">
        <v>815</v>
      </c>
      <c r="D36" s="2" t="s">
        <v>845</v>
      </c>
      <c r="E36" s="2" t="s">
        <v>823</v>
      </c>
      <c r="F36" s="2" t="s">
        <v>856</v>
      </c>
      <c r="G36" s="2" t="s">
        <v>826</v>
      </c>
      <c r="H36" s="2" t="s">
        <v>829</v>
      </c>
      <c r="I36" s="2" t="s">
        <v>840</v>
      </c>
    </row>
    <row r="37" spans="1:9">
      <c r="A37" s="2" t="s">
        <v>809</v>
      </c>
      <c r="B37" s="2"/>
      <c r="C37" s="2"/>
      <c r="D37" s="2"/>
      <c r="E37" s="2"/>
      <c r="F37" s="2"/>
      <c r="G37" s="2"/>
      <c r="H37" s="2"/>
      <c r="I37" s="2"/>
    </row>
    <row r="38" spans="1:9">
      <c r="A38" s="2" t="s">
        <v>810</v>
      </c>
      <c r="B38" s="2"/>
      <c r="C38" s="2"/>
      <c r="D38" s="2"/>
      <c r="E38" s="2"/>
      <c r="F38" s="2"/>
      <c r="G38" s="2"/>
      <c r="H38" s="2"/>
      <c r="I38" s="2"/>
    </row>
    <row r="39" spans="1:9" ht="18.75" customHeight="1">
      <c r="A39" s="3"/>
      <c r="B39" s="3"/>
      <c r="C39" s="3"/>
      <c r="D39" s="3"/>
      <c r="E39" s="3"/>
      <c r="F39" s="3"/>
      <c r="G39" s="3"/>
      <c r="H39" s="3"/>
      <c r="I39" s="3"/>
    </row>
    <row r="41" spans="1:9">
      <c r="A41" s="4"/>
      <c r="B41" s="4"/>
      <c r="C41" s="4"/>
      <c r="D41" s="4"/>
      <c r="E41" s="4"/>
      <c r="F41" s="4"/>
      <c r="G41" s="4"/>
      <c r="H41" s="4"/>
      <c r="I41" s="4"/>
    </row>
    <row r="42" spans="1:9">
      <c r="A42" s="1"/>
      <c r="B42" t="s">
        <v>851</v>
      </c>
      <c r="H42" t="s">
        <v>831</v>
      </c>
    </row>
    <row r="43" spans="1:9">
      <c r="A43" s="2" t="s">
        <v>805</v>
      </c>
      <c r="B43" s="2" t="s">
        <v>975</v>
      </c>
      <c r="C43" s="2" t="s">
        <v>816</v>
      </c>
      <c r="D43" s="2" t="s">
        <v>819</v>
      </c>
      <c r="E43" s="2" t="s">
        <v>821</v>
      </c>
      <c r="F43" s="2" t="s">
        <v>824</v>
      </c>
      <c r="G43" s="2" t="s">
        <v>827</v>
      </c>
      <c r="H43" s="2" t="s">
        <v>827</v>
      </c>
      <c r="I43" s="2"/>
    </row>
    <row r="44" spans="1:9">
      <c r="A44" s="2" t="s">
        <v>806</v>
      </c>
      <c r="B44" s="2">
        <v>1127</v>
      </c>
      <c r="C44" s="2">
        <v>1605</v>
      </c>
      <c r="D44" s="2">
        <v>1185</v>
      </c>
      <c r="E44" s="2">
        <v>1277</v>
      </c>
      <c r="F44" s="2">
        <v>1238</v>
      </c>
      <c r="G44" s="2">
        <v>1268</v>
      </c>
      <c r="H44" s="2">
        <v>1255</v>
      </c>
      <c r="I44" s="2"/>
    </row>
    <row r="45" spans="1:9">
      <c r="A45" s="2" t="s">
        <v>807</v>
      </c>
      <c r="B45" s="2" t="s">
        <v>862</v>
      </c>
      <c r="C45" s="2" t="s">
        <v>863</v>
      </c>
      <c r="D45" s="2" t="s">
        <v>864</v>
      </c>
      <c r="E45" s="2" t="s">
        <v>865</v>
      </c>
      <c r="F45" s="2" t="s">
        <v>866</v>
      </c>
      <c r="G45" s="2" t="s">
        <v>867</v>
      </c>
      <c r="H45" s="2" t="s">
        <v>868</v>
      </c>
      <c r="I45" s="2"/>
    </row>
    <row r="46" spans="1:9">
      <c r="A46" s="2" t="s">
        <v>808</v>
      </c>
      <c r="B46" s="2" t="s">
        <v>812</v>
      </c>
      <c r="C46" s="2" t="s">
        <v>818</v>
      </c>
      <c r="D46" s="2" t="s">
        <v>820</v>
      </c>
      <c r="E46" s="2" t="s">
        <v>823</v>
      </c>
      <c r="F46" s="2" t="s">
        <v>856</v>
      </c>
      <c r="G46" s="2" t="s">
        <v>840</v>
      </c>
      <c r="H46" s="2" t="s">
        <v>826</v>
      </c>
      <c r="I46" s="2"/>
    </row>
    <row r="47" spans="1:9">
      <c r="A47" s="2" t="s">
        <v>809</v>
      </c>
      <c r="B47" s="2"/>
      <c r="C47" s="2"/>
      <c r="D47" s="2"/>
      <c r="E47" s="2"/>
      <c r="F47" s="2"/>
      <c r="G47" s="2"/>
      <c r="H47" s="2"/>
      <c r="I47" s="2"/>
    </row>
    <row r="48" spans="1:9">
      <c r="A48" s="2" t="s">
        <v>810</v>
      </c>
      <c r="B48" s="2"/>
      <c r="C48" s="2"/>
      <c r="D48" s="2"/>
      <c r="E48" s="2"/>
      <c r="F48" s="2"/>
      <c r="G48" s="2"/>
      <c r="H48" s="2"/>
      <c r="I48" s="2"/>
    </row>
    <row r="50" spans="1:9">
      <c r="A50" s="4"/>
      <c r="B50" s="4"/>
      <c r="C50" s="4"/>
      <c r="D50" s="4"/>
      <c r="E50" s="4"/>
      <c r="F50" s="4"/>
      <c r="G50" s="4"/>
      <c r="H50" s="4"/>
      <c r="I50" s="4"/>
    </row>
    <row r="51" spans="1:9">
      <c r="A51" s="4"/>
      <c r="B51" s="4"/>
      <c r="C51" s="4"/>
      <c r="D51" s="4"/>
      <c r="E51" s="4"/>
      <c r="F51" s="4"/>
      <c r="G51" s="4"/>
      <c r="H51" s="4"/>
      <c r="I51" s="4"/>
    </row>
    <row r="52" spans="1:9">
      <c r="A52" s="1"/>
      <c r="B52" t="s">
        <v>851</v>
      </c>
      <c r="H52" t="s">
        <v>843</v>
      </c>
    </row>
    <row r="53" spans="1:9">
      <c r="A53" s="2" t="s">
        <v>805</v>
      </c>
      <c r="B53" s="2" t="s">
        <v>975</v>
      </c>
      <c r="C53" s="2" t="s">
        <v>816</v>
      </c>
      <c r="D53" s="2" t="s">
        <v>819</v>
      </c>
      <c r="E53" s="2" t="s">
        <v>821</v>
      </c>
      <c r="F53" s="2" t="s">
        <v>824</v>
      </c>
      <c r="G53" s="2" t="s">
        <v>827</v>
      </c>
      <c r="H53" s="2" t="s">
        <v>858</v>
      </c>
      <c r="I53" s="2" t="s">
        <v>860</v>
      </c>
    </row>
    <row r="54" spans="1:9">
      <c r="A54" s="2" t="s">
        <v>806</v>
      </c>
      <c r="B54" s="2">
        <v>1136</v>
      </c>
      <c r="C54" s="2">
        <v>1506</v>
      </c>
      <c r="D54" s="2">
        <v>1198</v>
      </c>
      <c r="E54" s="2">
        <v>1217</v>
      </c>
      <c r="F54" s="2">
        <v>1247</v>
      </c>
      <c r="G54" s="2">
        <v>1297</v>
      </c>
      <c r="H54" s="2">
        <v>1225</v>
      </c>
      <c r="I54" s="2">
        <v>1255</v>
      </c>
    </row>
    <row r="55" spans="1:9">
      <c r="A55" s="2" t="s">
        <v>807</v>
      </c>
      <c r="B55" s="2" t="s">
        <v>869</v>
      </c>
      <c r="C55" s="2" t="s">
        <v>688</v>
      </c>
      <c r="D55" s="2" t="s">
        <v>870</v>
      </c>
      <c r="E55" s="2" t="s">
        <v>871</v>
      </c>
      <c r="F55" s="2" t="s">
        <v>872</v>
      </c>
      <c r="G55" s="2" t="s">
        <v>873</v>
      </c>
      <c r="H55" s="2" t="s">
        <v>874</v>
      </c>
      <c r="I55" s="2" t="s">
        <v>868</v>
      </c>
    </row>
    <row r="56" spans="1:9">
      <c r="A56" s="2" t="s">
        <v>808</v>
      </c>
      <c r="B56" s="2" t="s">
        <v>815</v>
      </c>
      <c r="C56" s="2" t="s">
        <v>834</v>
      </c>
      <c r="D56" s="2" t="s">
        <v>836</v>
      </c>
      <c r="E56" s="2" t="s">
        <v>838</v>
      </c>
      <c r="F56" s="2" t="s">
        <v>848</v>
      </c>
      <c r="G56" s="2" t="s">
        <v>829</v>
      </c>
      <c r="H56" s="2" t="s">
        <v>875</v>
      </c>
      <c r="I56" s="2" t="s">
        <v>826</v>
      </c>
    </row>
    <row r="57" spans="1:9">
      <c r="A57" s="2" t="s">
        <v>809</v>
      </c>
      <c r="B57" s="2"/>
      <c r="C57" s="2"/>
      <c r="D57" s="2"/>
      <c r="E57" s="2"/>
      <c r="F57" s="2"/>
      <c r="G57" s="2"/>
      <c r="H57" s="2"/>
      <c r="I57" s="2"/>
    </row>
    <row r="58" spans="1:9">
      <c r="A58" s="2" t="s">
        <v>810</v>
      </c>
      <c r="B58" s="2"/>
      <c r="C58" s="2"/>
      <c r="D58" s="2"/>
      <c r="E58" s="2"/>
      <c r="F58" s="2"/>
      <c r="G58" s="2"/>
      <c r="H58" s="2"/>
      <c r="I58" s="2"/>
    </row>
    <row r="59" spans="1:9">
      <c r="A59" s="3"/>
      <c r="B59" s="3"/>
      <c r="C59" s="3"/>
      <c r="D59" s="3"/>
      <c r="E59" s="3"/>
      <c r="F59" s="3"/>
      <c r="G59" s="3"/>
      <c r="H59" s="3"/>
      <c r="I59" s="3"/>
    </row>
    <row r="61" spans="1:9">
      <c r="A61" s="4"/>
      <c r="B61" s="4"/>
      <c r="C61" s="4"/>
      <c r="D61" s="4"/>
      <c r="E61" s="4"/>
      <c r="F61" s="4"/>
      <c r="G61" s="4"/>
      <c r="H61" s="4"/>
      <c r="I61" s="4"/>
    </row>
    <row r="62" spans="1:9">
      <c r="A62" s="1"/>
      <c r="B62" t="s">
        <v>876</v>
      </c>
      <c r="H62" t="s">
        <v>804</v>
      </c>
    </row>
    <row r="63" spans="1:9">
      <c r="A63" s="2" t="s">
        <v>805</v>
      </c>
      <c r="B63" s="2" t="s">
        <v>975</v>
      </c>
      <c r="C63" s="2" t="s">
        <v>816</v>
      </c>
      <c r="D63" s="2" t="s">
        <v>819</v>
      </c>
      <c r="E63" s="2" t="s">
        <v>821</v>
      </c>
      <c r="F63" s="2" t="s">
        <v>824</v>
      </c>
      <c r="G63" s="2" t="s">
        <v>827</v>
      </c>
      <c r="H63" s="2" t="s">
        <v>858</v>
      </c>
      <c r="I63" s="2" t="s">
        <v>860</v>
      </c>
    </row>
    <row r="64" spans="1:9">
      <c r="A64" s="2" t="s">
        <v>806</v>
      </c>
      <c r="B64" s="2">
        <v>2411</v>
      </c>
      <c r="C64" s="2">
        <v>2421</v>
      </c>
      <c r="D64" s="2">
        <v>2433</v>
      </c>
      <c r="E64" s="2">
        <v>2513</v>
      </c>
      <c r="F64" s="2">
        <v>2521</v>
      </c>
      <c r="G64" s="2">
        <v>2531</v>
      </c>
      <c r="H64" s="2" t="s">
        <v>705</v>
      </c>
      <c r="I64" s="2" t="s">
        <v>705</v>
      </c>
    </row>
    <row r="65" spans="1:9">
      <c r="A65" s="2" t="s">
        <v>807</v>
      </c>
      <c r="B65" s="2" t="s">
        <v>698</v>
      </c>
      <c r="C65" s="2" t="s">
        <v>701</v>
      </c>
      <c r="D65" s="2" t="s">
        <v>703</v>
      </c>
      <c r="E65" s="2" t="s">
        <v>991</v>
      </c>
      <c r="F65" s="2" t="s">
        <v>992</v>
      </c>
      <c r="G65" s="2" t="s">
        <v>993</v>
      </c>
      <c r="H65" s="2" t="s">
        <v>883</v>
      </c>
      <c r="I65" s="2" t="s">
        <v>883</v>
      </c>
    </row>
    <row r="66" spans="1:9">
      <c r="A66" s="2" t="s">
        <v>808</v>
      </c>
      <c r="B66" s="2" t="s">
        <v>815</v>
      </c>
      <c r="C66" s="2" t="s">
        <v>815</v>
      </c>
      <c r="D66" s="2" t="s">
        <v>815</v>
      </c>
      <c r="E66" s="2" t="s">
        <v>812</v>
      </c>
      <c r="F66" s="2" t="s">
        <v>812</v>
      </c>
      <c r="G66" s="2" t="s">
        <v>812</v>
      </c>
      <c r="H66" s="2" t="s">
        <v>882</v>
      </c>
      <c r="I66" s="2" t="s">
        <v>882</v>
      </c>
    </row>
    <row r="67" spans="1:9">
      <c r="A67" s="2" t="s">
        <v>809</v>
      </c>
      <c r="B67" s="2"/>
      <c r="C67" s="2"/>
      <c r="D67" s="2"/>
      <c r="E67" s="2"/>
      <c r="F67" s="2"/>
      <c r="G67" s="2"/>
      <c r="H67" s="2"/>
      <c r="I67" s="2"/>
    </row>
    <row r="68" spans="1:9">
      <c r="A68" s="2" t="s">
        <v>810</v>
      </c>
      <c r="B68" s="2"/>
      <c r="C68" s="2"/>
      <c r="D68" s="2"/>
      <c r="E68" s="2"/>
      <c r="F68" s="2"/>
      <c r="G68" s="2"/>
      <c r="H68" s="2"/>
      <c r="I68" s="2"/>
    </row>
    <row r="69" spans="1:9">
      <c r="A69" s="3"/>
      <c r="B69" s="3"/>
      <c r="C69" s="3"/>
      <c r="D69" s="3"/>
      <c r="E69" s="3"/>
      <c r="F69" s="3"/>
      <c r="G69" s="3"/>
      <c r="H69" s="3"/>
      <c r="I69" s="3"/>
    </row>
    <row r="71" spans="1:9">
      <c r="A71" s="4"/>
      <c r="B71" s="4"/>
      <c r="C71" s="4"/>
      <c r="D71" s="4"/>
      <c r="E71" s="4"/>
      <c r="F71" s="4"/>
      <c r="G71" s="4"/>
      <c r="H71" s="4"/>
      <c r="I71" s="4"/>
    </row>
    <row r="72" spans="1:9">
      <c r="A72" s="1"/>
      <c r="B72" t="s">
        <v>876</v>
      </c>
      <c r="H72" t="s">
        <v>831</v>
      </c>
    </row>
    <row r="73" spans="1:9">
      <c r="A73" s="2" t="s">
        <v>805</v>
      </c>
      <c r="B73" s="2" t="s">
        <v>975</v>
      </c>
      <c r="C73" s="2" t="s">
        <v>816</v>
      </c>
      <c r="D73" s="2" t="s">
        <v>819</v>
      </c>
      <c r="E73" s="2" t="s">
        <v>821</v>
      </c>
      <c r="F73" s="2" t="s">
        <v>824</v>
      </c>
      <c r="G73" s="2" t="s">
        <v>827</v>
      </c>
      <c r="H73" s="2" t="s">
        <v>858</v>
      </c>
      <c r="I73" s="2" t="s">
        <v>860</v>
      </c>
    </row>
    <row r="74" spans="1:9">
      <c r="A74" s="2" t="s">
        <v>806</v>
      </c>
      <c r="B74" s="2">
        <v>2413</v>
      </c>
      <c r="C74" s="2">
        <v>2422</v>
      </c>
      <c r="D74" s="2">
        <v>2435</v>
      </c>
      <c r="E74" s="2">
        <v>2515</v>
      </c>
      <c r="F74" s="2">
        <v>2523</v>
      </c>
      <c r="G74" s="2">
        <v>2212</v>
      </c>
      <c r="H74" s="2" t="s">
        <v>887</v>
      </c>
      <c r="I74" s="2">
        <v>3227</v>
      </c>
    </row>
    <row r="75" spans="1:9">
      <c r="A75" s="2" t="s">
        <v>807</v>
      </c>
      <c r="B75" s="2" t="s">
        <v>699</v>
      </c>
      <c r="C75" s="2" t="s">
        <v>997</v>
      </c>
      <c r="D75" s="2" t="s">
        <v>841</v>
      </c>
      <c r="E75" s="2" t="s">
        <v>998</v>
      </c>
      <c r="F75" s="2" t="s">
        <v>999</v>
      </c>
      <c r="G75" s="2" t="s">
        <v>1000</v>
      </c>
      <c r="H75" s="2" t="s">
        <v>888</v>
      </c>
      <c r="I75" s="2" t="s">
        <v>889</v>
      </c>
    </row>
    <row r="76" spans="1:9">
      <c r="A76" s="2" t="s">
        <v>808</v>
      </c>
      <c r="B76" s="2" t="s">
        <v>815</v>
      </c>
      <c r="C76" s="2" t="s">
        <v>815</v>
      </c>
      <c r="D76" s="2" t="s">
        <v>815</v>
      </c>
      <c r="E76" s="2" t="s">
        <v>812</v>
      </c>
      <c r="F76" s="2" t="s">
        <v>812</v>
      </c>
      <c r="G76" s="2" t="s">
        <v>882</v>
      </c>
      <c r="H76" s="2" t="s">
        <v>886</v>
      </c>
      <c r="I76" s="2" t="s">
        <v>886</v>
      </c>
    </row>
    <row r="77" spans="1:9">
      <c r="A77" s="2" t="s">
        <v>809</v>
      </c>
      <c r="B77" s="2"/>
      <c r="C77" s="2"/>
      <c r="D77" s="2"/>
      <c r="E77" s="2"/>
      <c r="F77" s="2"/>
      <c r="G77" s="2"/>
      <c r="H77" s="2"/>
      <c r="I77" s="2"/>
    </row>
    <row r="78" spans="1:9">
      <c r="A78" s="2" t="s">
        <v>810</v>
      </c>
      <c r="B78" s="2"/>
      <c r="C78" s="2"/>
      <c r="D78" s="2"/>
      <c r="E78" s="2"/>
      <c r="F78" s="2"/>
      <c r="G78" s="2"/>
      <c r="H78" s="2"/>
      <c r="I78" s="2"/>
    </row>
    <row r="80" spans="1:9">
      <c r="A80" s="4"/>
      <c r="B80" s="4"/>
      <c r="C80" s="4"/>
      <c r="D80" s="4"/>
      <c r="E80" s="4"/>
      <c r="F80" s="4"/>
      <c r="G80" s="4"/>
      <c r="H80" s="4"/>
      <c r="I80" s="4"/>
    </row>
    <row r="81" spans="1:9">
      <c r="A81" s="4"/>
      <c r="B81" s="4"/>
      <c r="C81" s="4"/>
      <c r="D81" s="4"/>
      <c r="E81" s="4"/>
      <c r="F81" s="4"/>
      <c r="G81" s="4"/>
      <c r="H81" s="4"/>
      <c r="I81" s="4"/>
    </row>
    <row r="82" spans="1:9">
      <c r="A82" s="1"/>
      <c r="B82" t="s">
        <v>877</v>
      </c>
      <c r="H82" t="s">
        <v>804</v>
      </c>
    </row>
    <row r="83" spans="1:9">
      <c r="A83" s="2" t="s">
        <v>805</v>
      </c>
      <c r="B83" s="2" t="s">
        <v>975</v>
      </c>
      <c r="C83" s="2" t="s">
        <v>816</v>
      </c>
      <c r="D83" s="2" t="s">
        <v>819</v>
      </c>
      <c r="E83" s="2" t="s">
        <v>821</v>
      </c>
      <c r="F83" s="2" t="s">
        <v>1008</v>
      </c>
      <c r="G83" s="2" t="s">
        <v>824</v>
      </c>
      <c r="H83" s="2" t="s">
        <v>858</v>
      </c>
      <c r="I83" s="2" t="s">
        <v>894</v>
      </c>
    </row>
    <row r="84" spans="1:9">
      <c r="A84" s="2" t="s">
        <v>806</v>
      </c>
      <c r="B84" s="2">
        <v>2417</v>
      </c>
      <c r="C84" s="2" t="s">
        <v>677</v>
      </c>
      <c r="D84" s="2" t="s">
        <v>679</v>
      </c>
      <c r="E84" s="2" t="s">
        <v>680</v>
      </c>
      <c r="F84" s="2" t="s">
        <v>681</v>
      </c>
      <c r="G84" s="2">
        <v>1233</v>
      </c>
      <c r="H84" s="2">
        <v>1251</v>
      </c>
      <c r="I84" s="2">
        <v>1281</v>
      </c>
    </row>
    <row r="85" spans="1:9">
      <c r="A85" s="2" t="s">
        <v>807</v>
      </c>
      <c r="B85" s="2" t="s">
        <v>700</v>
      </c>
      <c r="C85" s="2" t="s">
        <v>704</v>
      </c>
      <c r="D85" s="2" t="s">
        <v>1006</v>
      </c>
      <c r="E85" s="2" t="s">
        <v>1007</v>
      </c>
      <c r="F85" s="2" t="s">
        <v>883</v>
      </c>
      <c r="G85" s="2" t="s">
        <v>893</v>
      </c>
      <c r="H85" s="2" t="s">
        <v>825</v>
      </c>
      <c r="I85" s="2" t="s">
        <v>697</v>
      </c>
    </row>
    <row r="86" spans="1:9">
      <c r="A86" s="2" t="s">
        <v>808</v>
      </c>
      <c r="B86" s="2" t="s">
        <v>815</v>
      </c>
      <c r="C86" s="2" t="s">
        <v>815</v>
      </c>
      <c r="D86" s="2" t="s">
        <v>812</v>
      </c>
      <c r="E86" s="2" t="s">
        <v>812</v>
      </c>
      <c r="F86" s="2" t="s">
        <v>882</v>
      </c>
      <c r="G86" s="2" t="s">
        <v>856</v>
      </c>
      <c r="H86" s="2" t="s">
        <v>826</v>
      </c>
      <c r="I86" s="2" t="s">
        <v>895</v>
      </c>
    </row>
    <row r="87" spans="1:9">
      <c r="A87" s="2" t="s">
        <v>809</v>
      </c>
      <c r="B87" s="2"/>
      <c r="C87" s="2"/>
      <c r="D87" s="2"/>
      <c r="E87" s="2"/>
      <c r="F87" s="2"/>
      <c r="G87" s="2"/>
      <c r="H87" s="2"/>
      <c r="I87" s="2"/>
    </row>
    <row r="88" spans="1:9">
      <c r="A88" s="2" t="s">
        <v>810</v>
      </c>
      <c r="B88" s="2"/>
      <c r="C88" s="2"/>
      <c r="D88" s="2"/>
      <c r="E88" s="2"/>
      <c r="F88" s="2"/>
      <c r="G88" s="2"/>
      <c r="H88" s="2"/>
      <c r="I88" s="2"/>
    </row>
    <row r="89" spans="1:9">
      <c r="A89" s="3"/>
      <c r="B89" s="3"/>
      <c r="C89" s="3"/>
      <c r="D89" s="3"/>
      <c r="E89" s="3"/>
      <c r="F89" s="3"/>
      <c r="G89" s="3"/>
      <c r="H89" s="3"/>
      <c r="I89" s="3"/>
    </row>
    <row r="91" spans="1:9">
      <c r="A91" s="4"/>
      <c r="B91" s="4"/>
      <c r="C91" s="4"/>
      <c r="D91" s="4"/>
      <c r="E91" s="4"/>
      <c r="F91" s="4"/>
      <c r="G91" s="4"/>
      <c r="H91" s="4"/>
      <c r="I91" s="4"/>
    </row>
    <row r="92" spans="1:9">
      <c r="A92" s="1"/>
      <c r="B92" t="s">
        <v>877</v>
      </c>
      <c r="H92" t="s">
        <v>831</v>
      </c>
    </row>
    <row r="93" spans="1:9">
      <c r="A93" s="2" t="s">
        <v>805</v>
      </c>
      <c r="B93" s="2" t="s">
        <v>1013</v>
      </c>
      <c r="C93" s="2" t="s">
        <v>819</v>
      </c>
      <c r="D93" s="2" t="s">
        <v>821</v>
      </c>
      <c r="E93" s="2" t="s">
        <v>1008</v>
      </c>
      <c r="F93" s="2" t="s">
        <v>821</v>
      </c>
      <c r="G93" s="2" t="s">
        <v>824</v>
      </c>
      <c r="H93" s="2" t="s">
        <v>899</v>
      </c>
      <c r="I93" s="2"/>
    </row>
    <row r="94" spans="1:9">
      <c r="A94" s="2" t="s">
        <v>806</v>
      </c>
      <c r="B94" s="2">
        <v>2427</v>
      </c>
      <c r="C94" s="2">
        <v>2519</v>
      </c>
      <c r="D94" s="2">
        <v>2538</v>
      </c>
      <c r="E94" s="2">
        <v>2219</v>
      </c>
      <c r="F94" s="2">
        <v>1213</v>
      </c>
      <c r="G94" s="2">
        <v>1234</v>
      </c>
      <c r="H94" s="2">
        <v>1264</v>
      </c>
      <c r="I94" s="2"/>
    </row>
    <row r="95" spans="1:9">
      <c r="A95" s="2" t="s">
        <v>807</v>
      </c>
      <c r="B95" s="2" t="s">
        <v>702</v>
      </c>
      <c r="C95" s="2" t="s">
        <v>657</v>
      </c>
      <c r="D95" s="2" t="s">
        <v>880</v>
      </c>
      <c r="E95" s="2" t="s">
        <v>881</v>
      </c>
      <c r="F95" s="2" t="s">
        <v>837</v>
      </c>
      <c r="G95" s="2" t="s">
        <v>898</v>
      </c>
      <c r="H95" s="2" t="s">
        <v>695</v>
      </c>
      <c r="I95" s="2"/>
    </row>
    <row r="96" spans="1:9">
      <c r="A96" s="2" t="s">
        <v>808</v>
      </c>
      <c r="B96" s="2" t="s">
        <v>815</v>
      </c>
      <c r="C96" s="2" t="s">
        <v>812</v>
      </c>
      <c r="D96" s="2" t="s">
        <v>812</v>
      </c>
      <c r="E96" s="2" t="s">
        <v>882</v>
      </c>
      <c r="F96" s="2" t="s">
        <v>838</v>
      </c>
      <c r="G96" s="2" t="s">
        <v>856</v>
      </c>
      <c r="H96" s="2" t="s">
        <v>900</v>
      </c>
      <c r="I96" s="2"/>
    </row>
    <row r="97" spans="1:9">
      <c r="A97" s="2" t="s">
        <v>809</v>
      </c>
      <c r="B97" s="2"/>
      <c r="C97" s="2"/>
      <c r="D97" s="2"/>
      <c r="E97" s="2"/>
      <c r="F97" s="2"/>
      <c r="G97" s="2"/>
      <c r="H97" s="2"/>
      <c r="I97" s="2"/>
    </row>
    <row r="98" spans="1:9">
      <c r="A98" s="2" t="s">
        <v>810</v>
      </c>
      <c r="B98" s="2"/>
      <c r="C98" s="2"/>
      <c r="D98" s="2"/>
      <c r="E98" s="2"/>
      <c r="F98" s="2"/>
      <c r="G98" s="2"/>
      <c r="H98" s="2"/>
      <c r="I98" s="2"/>
    </row>
    <row r="99" spans="1:9">
      <c r="A99" s="3"/>
      <c r="B99" s="3"/>
      <c r="C99" s="3"/>
      <c r="D99" s="3"/>
      <c r="E99" s="3"/>
      <c r="F99" s="3"/>
      <c r="G99" s="3"/>
      <c r="H99" s="3"/>
      <c r="I99" s="3"/>
    </row>
    <row r="101" spans="1:9">
      <c r="A101" s="4"/>
      <c r="B101" s="4"/>
      <c r="C101" s="4"/>
      <c r="D101" s="4"/>
      <c r="E101" s="4"/>
      <c r="F101" s="4"/>
      <c r="G101" s="4"/>
      <c r="H101" s="4"/>
      <c r="I101" s="4"/>
    </row>
    <row r="102" spans="1:9">
      <c r="A102" s="1"/>
      <c r="B102" t="s">
        <v>884</v>
      </c>
      <c r="H102" t="s">
        <v>804</v>
      </c>
    </row>
    <row r="103" spans="1:9">
      <c r="A103" s="2" t="s">
        <v>805</v>
      </c>
      <c r="B103" s="2" t="s">
        <v>975</v>
      </c>
      <c r="C103" s="2" t="s">
        <v>816</v>
      </c>
      <c r="D103" s="2" t="s">
        <v>819</v>
      </c>
      <c r="E103" s="2" t="s">
        <v>821</v>
      </c>
      <c r="F103" s="2" t="s">
        <v>1008</v>
      </c>
      <c r="G103" s="2" t="s">
        <v>824</v>
      </c>
      <c r="H103" s="2" t="s">
        <v>858</v>
      </c>
      <c r="I103" s="2" t="s">
        <v>860</v>
      </c>
    </row>
    <row r="104" spans="1:9">
      <c r="A104" s="2" t="s">
        <v>806</v>
      </c>
      <c r="B104" s="2">
        <v>3111</v>
      </c>
      <c r="C104" s="2">
        <v>3113</v>
      </c>
      <c r="D104" s="2">
        <v>3122</v>
      </c>
      <c r="E104" s="2">
        <v>3133</v>
      </c>
      <c r="F104" s="2">
        <v>3214</v>
      </c>
      <c r="G104" s="2">
        <v>1297</v>
      </c>
      <c r="H104" s="2">
        <v>1285</v>
      </c>
      <c r="I104" s="2">
        <v>1265</v>
      </c>
    </row>
    <row r="105" spans="1:9">
      <c r="A105" s="2" t="s">
        <v>807</v>
      </c>
      <c r="B105" s="2" t="s">
        <v>706</v>
      </c>
      <c r="C105" s="2" t="s">
        <v>707</v>
      </c>
      <c r="D105" s="2" t="s">
        <v>714</v>
      </c>
      <c r="E105" s="2" t="s">
        <v>722</v>
      </c>
      <c r="F105" s="2" t="s">
        <v>1018</v>
      </c>
      <c r="G105" s="2" t="s">
        <v>873</v>
      </c>
      <c r="H105" s="2" t="s">
        <v>902</v>
      </c>
      <c r="I105" s="2" t="s">
        <v>861</v>
      </c>
    </row>
    <row r="106" spans="1:9">
      <c r="A106" s="2" t="s">
        <v>808</v>
      </c>
      <c r="B106" s="2" t="s">
        <v>882</v>
      </c>
      <c r="C106" s="2" t="s">
        <v>882</v>
      </c>
      <c r="D106" s="2" t="s">
        <v>882</v>
      </c>
      <c r="E106" s="2" t="s">
        <v>882</v>
      </c>
      <c r="F106" s="2" t="s">
        <v>886</v>
      </c>
      <c r="G106" s="2" t="s">
        <v>829</v>
      </c>
      <c r="H106" s="2" t="s">
        <v>829</v>
      </c>
      <c r="I106" s="2" t="s">
        <v>840</v>
      </c>
    </row>
    <row r="107" spans="1:9">
      <c r="A107" s="2" t="s">
        <v>809</v>
      </c>
      <c r="B107" s="2"/>
      <c r="C107" s="2"/>
      <c r="D107" s="2"/>
      <c r="E107" s="2"/>
      <c r="F107" s="2"/>
      <c r="G107" s="2"/>
      <c r="H107" s="2"/>
      <c r="I107" s="2"/>
    </row>
    <row r="108" spans="1:9">
      <c r="A108" s="2" t="s">
        <v>810</v>
      </c>
      <c r="B108" s="2"/>
      <c r="C108" s="2"/>
      <c r="D108" s="2"/>
      <c r="E108" s="2"/>
      <c r="F108" s="2"/>
      <c r="G108" s="2"/>
      <c r="H108" s="2"/>
      <c r="I108" s="2"/>
    </row>
    <row r="110" spans="1:9">
      <c r="A110" s="4"/>
      <c r="B110" s="4"/>
      <c r="C110" s="4"/>
      <c r="D110" s="4"/>
      <c r="E110" s="4"/>
      <c r="F110" s="4"/>
      <c r="G110" s="4"/>
      <c r="H110" s="4"/>
      <c r="I110" s="4"/>
    </row>
    <row r="111" spans="1:9">
      <c r="A111" s="4"/>
      <c r="B111" s="4"/>
      <c r="C111" s="4"/>
      <c r="D111" s="4"/>
      <c r="E111" s="4"/>
      <c r="F111" s="4"/>
      <c r="G111" s="4"/>
      <c r="H111" s="4"/>
      <c r="I111" s="4"/>
    </row>
    <row r="112" spans="1:9">
      <c r="A112" s="1"/>
      <c r="B112" t="s">
        <v>885</v>
      </c>
      <c r="H112" t="s">
        <v>804</v>
      </c>
    </row>
    <row r="113" spans="1:9">
      <c r="A113" s="2" t="s">
        <v>805</v>
      </c>
      <c r="B113" s="2" t="s">
        <v>811</v>
      </c>
      <c r="C113" s="2" t="s">
        <v>813</v>
      </c>
      <c r="D113" s="2" t="s">
        <v>816</v>
      </c>
      <c r="E113" s="2" t="s">
        <v>819</v>
      </c>
      <c r="F113" s="2" t="s">
        <v>821</v>
      </c>
      <c r="G113" s="2" t="s">
        <v>824</v>
      </c>
      <c r="H113" s="2" t="s">
        <v>858</v>
      </c>
      <c r="I113" s="2" t="s">
        <v>860</v>
      </c>
    </row>
    <row r="114" spans="1:9">
      <c r="A114" s="2" t="s">
        <v>806</v>
      </c>
      <c r="B114" s="2">
        <v>3119</v>
      </c>
      <c r="C114" s="2">
        <v>3127</v>
      </c>
      <c r="D114" s="2">
        <v>3128</v>
      </c>
      <c r="E114" s="2">
        <v>3137</v>
      </c>
      <c r="F114" s="2" t="s">
        <v>682</v>
      </c>
      <c r="G114" s="2" t="s">
        <v>683</v>
      </c>
      <c r="H114" s="2" t="s">
        <v>684</v>
      </c>
      <c r="I114" s="2">
        <v>3227</v>
      </c>
    </row>
    <row r="115" spans="1:9">
      <c r="A115" s="2" t="s">
        <v>807</v>
      </c>
      <c r="B115" s="2" t="s">
        <v>711</v>
      </c>
      <c r="C115" s="2" t="s">
        <v>717</v>
      </c>
      <c r="D115" s="2" t="s">
        <v>718</v>
      </c>
      <c r="E115" s="2" t="s">
        <v>725</v>
      </c>
      <c r="F115" s="2" t="s">
        <v>728</v>
      </c>
      <c r="G115" s="2" t="s">
        <v>689</v>
      </c>
      <c r="H115" s="2" t="s">
        <v>888</v>
      </c>
      <c r="I115" s="2" t="s">
        <v>889</v>
      </c>
    </row>
    <row r="116" spans="1:9">
      <c r="A116" s="2" t="s">
        <v>808</v>
      </c>
      <c r="B116" s="2" t="s">
        <v>882</v>
      </c>
      <c r="C116" s="2" t="s">
        <v>882</v>
      </c>
      <c r="D116" s="2" t="s">
        <v>882</v>
      </c>
      <c r="E116" s="2" t="s">
        <v>882</v>
      </c>
      <c r="F116" s="2" t="s">
        <v>882</v>
      </c>
      <c r="G116" s="2" t="s">
        <v>886</v>
      </c>
      <c r="H116" s="2" t="s">
        <v>886</v>
      </c>
      <c r="I116" s="2" t="s">
        <v>886</v>
      </c>
    </row>
    <row r="117" spans="1:9">
      <c r="A117" s="2" t="s">
        <v>809</v>
      </c>
      <c r="B117" s="2"/>
      <c r="C117" s="2"/>
      <c r="D117" s="2"/>
      <c r="E117" s="2"/>
      <c r="F117" s="2"/>
      <c r="G117" s="2"/>
      <c r="H117" s="2"/>
      <c r="I117" s="2"/>
    </row>
    <row r="118" spans="1:9">
      <c r="A118" s="2" t="s">
        <v>810</v>
      </c>
      <c r="B118" s="2"/>
      <c r="C118" s="2"/>
      <c r="D118" s="2"/>
      <c r="E118" s="2"/>
      <c r="F118" s="2"/>
      <c r="G118" s="2"/>
      <c r="H118" s="2"/>
      <c r="I118" s="2"/>
    </row>
    <row r="119" spans="1:9">
      <c r="A119" s="3"/>
      <c r="B119" s="3"/>
      <c r="C119" s="3"/>
      <c r="D119" s="3"/>
      <c r="E119" s="3"/>
      <c r="F119" s="3"/>
      <c r="G119" s="3"/>
      <c r="H119" s="3"/>
      <c r="I119" s="3"/>
    </row>
    <row r="121" spans="1:9">
      <c r="A121" s="4"/>
      <c r="B121" s="4"/>
      <c r="C121" s="4"/>
      <c r="D121" s="4"/>
      <c r="E121" s="4"/>
      <c r="F121" s="4"/>
      <c r="G121" s="4"/>
      <c r="H121" s="4"/>
      <c r="I121" s="4"/>
    </row>
    <row r="122" spans="1:9">
      <c r="A122" s="1"/>
      <c r="B122" t="s">
        <v>890</v>
      </c>
      <c r="H122" t="s">
        <v>804</v>
      </c>
    </row>
    <row r="123" spans="1:9">
      <c r="A123" s="2" t="s">
        <v>805</v>
      </c>
      <c r="B123" s="2" t="s">
        <v>811</v>
      </c>
      <c r="C123" s="2" t="s">
        <v>813</v>
      </c>
      <c r="D123" s="2" t="s">
        <v>816</v>
      </c>
      <c r="E123" s="2" t="s">
        <v>819</v>
      </c>
      <c r="F123" s="2" t="s">
        <v>821</v>
      </c>
      <c r="G123" s="2" t="s">
        <v>824</v>
      </c>
      <c r="H123" s="2" t="s">
        <v>858</v>
      </c>
      <c r="I123" s="2" t="s">
        <v>860</v>
      </c>
    </row>
    <row r="124" spans="1:9">
      <c r="A124" s="2" t="s">
        <v>806</v>
      </c>
      <c r="B124" s="2">
        <v>1112</v>
      </c>
      <c r="C124" s="2">
        <v>1141</v>
      </c>
      <c r="D124" s="2">
        <v>1601</v>
      </c>
      <c r="E124" s="2">
        <v>1182</v>
      </c>
      <c r="F124" s="2">
        <v>1274</v>
      </c>
      <c r="G124" s="2">
        <v>1233</v>
      </c>
      <c r="H124" s="2">
        <v>1251</v>
      </c>
      <c r="I124" s="2">
        <v>1281</v>
      </c>
    </row>
    <row r="125" spans="1:9">
      <c r="A125" s="2" t="s">
        <v>807</v>
      </c>
      <c r="B125" s="2" t="s">
        <v>891</v>
      </c>
      <c r="C125" s="2" t="s">
        <v>814</v>
      </c>
      <c r="D125" s="2" t="s">
        <v>817</v>
      </c>
      <c r="E125" s="2" t="s">
        <v>892</v>
      </c>
      <c r="F125" s="2" t="s">
        <v>822</v>
      </c>
      <c r="G125" s="2" t="s">
        <v>893</v>
      </c>
      <c r="H125" s="2" t="s">
        <v>825</v>
      </c>
      <c r="I125" s="2" t="s">
        <v>828</v>
      </c>
    </row>
    <row r="126" spans="1:9">
      <c r="A126" s="2" t="s">
        <v>808</v>
      </c>
      <c r="B126" s="2" t="s">
        <v>812</v>
      </c>
      <c r="C126" s="2" t="s">
        <v>815</v>
      </c>
      <c r="D126" s="2" t="s">
        <v>818</v>
      </c>
      <c r="E126" s="2" t="s">
        <v>820</v>
      </c>
      <c r="F126" s="2" t="s">
        <v>823</v>
      </c>
      <c r="G126" s="2" t="s">
        <v>856</v>
      </c>
      <c r="H126" s="2" t="s">
        <v>826</v>
      </c>
      <c r="I126" s="2" t="s">
        <v>829</v>
      </c>
    </row>
    <row r="127" spans="1:9">
      <c r="A127" s="2" t="s">
        <v>809</v>
      </c>
      <c r="B127" s="2"/>
      <c r="C127" s="2"/>
      <c r="D127" s="2"/>
      <c r="E127" s="2"/>
      <c r="F127" s="2"/>
      <c r="G127" s="2"/>
      <c r="H127" s="2"/>
      <c r="I127" s="2"/>
    </row>
    <row r="128" spans="1:9">
      <c r="A128" s="2" t="s">
        <v>810</v>
      </c>
      <c r="B128" s="2"/>
      <c r="C128" s="2"/>
      <c r="D128" s="2"/>
      <c r="E128" s="2"/>
      <c r="F128" s="2"/>
      <c r="G128" s="2"/>
      <c r="H128" s="2"/>
      <c r="I128" s="2"/>
    </row>
    <row r="129" spans="1:9">
      <c r="A129" s="3"/>
      <c r="B129" s="3"/>
      <c r="C129" s="3"/>
      <c r="D129" s="3"/>
      <c r="E129" s="3"/>
      <c r="F129" s="3"/>
      <c r="G129" s="3"/>
      <c r="H129" s="3"/>
      <c r="I129" s="3"/>
    </row>
    <row r="131" spans="1:9">
      <c r="A131" s="4"/>
      <c r="B131" s="4"/>
      <c r="C131" s="4"/>
      <c r="D131" s="4"/>
      <c r="E131" s="4"/>
      <c r="F131" s="4"/>
      <c r="G131" s="4"/>
      <c r="H131" s="4"/>
      <c r="I131" s="4"/>
    </row>
    <row r="132" spans="1:9">
      <c r="A132" s="1"/>
      <c r="B132" t="s">
        <v>890</v>
      </c>
      <c r="H132" t="s">
        <v>831</v>
      </c>
    </row>
    <row r="133" spans="1:9">
      <c r="A133" s="2" t="s">
        <v>805</v>
      </c>
      <c r="B133" s="2" t="s">
        <v>811</v>
      </c>
      <c r="C133" s="2" t="s">
        <v>813</v>
      </c>
      <c r="D133" s="2" t="s">
        <v>816</v>
      </c>
      <c r="E133" s="2" t="s">
        <v>819</v>
      </c>
      <c r="F133" s="2" t="s">
        <v>821</v>
      </c>
      <c r="G133" s="2" t="s">
        <v>824</v>
      </c>
      <c r="H133" s="2" t="s">
        <v>827</v>
      </c>
      <c r="I133" s="2"/>
    </row>
    <row r="134" spans="1:9">
      <c r="A134" s="2" t="s">
        <v>806</v>
      </c>
      <c r="B134" s="2">
        <v>1123</v>
      </c>
      <c r="C134" s="2">
        <v>1304</v>
      </c>
      <c r="D134" s="2">
        <v>1503</v>
      </c>
      <c r="E134" s="2">
        <v>1194</v>
      </c>
      <c r="F134" s="2">
        <v>1213</v>
      </c>
      <c r="G134" s="2">
        <v>1234</v>
      </c>
      <c r="H134" s="2">
        <v>1264</v>
      </c>
      <c r="I134" s="2"/>
    </row>
    <row r="135" spans="1:9">
      <c r="A135" s="2" t="s">
        <v>807</v>
      </c>
      <c r="B135" s="2" t="s">
        <v>896</v>
      </c>
      <c r="C135" s="2"/>
      <c r="D135" s="2" t="s">
        <v>674</v>
      </c>
      <c r="E135" s="2" t="s">
        <v>897</v>
      </c>
      <c r="F135" s="2" t="s">
        <v>837</v>
      </c>
      <c r="G135" s="2" t="s">
        <v>598</v>
      </c>
      <c r="H135" s="2" t="s">
        <v>839</v>
      </c>
      <c r="I135" s="2"/>
    </row>
    <row r="136" spans="1:9">
      <c r="A136" s="2" t="s">
        <v>808</v>
      </c>
      <c r="B136" s="2" t="s">
        <v>812</v>
      </c>
      <c r="C136" s="2" t="s">
        <v>833</v>
      </c>
      <c r="D136" s="2" t="s">
        <v>834</v>
      </c>
      <c r="E136" s="2" t="s">
        <v>836</v>
      </c>
      <c r="F136" s="2" t="s">
        <v>838</v>
      </c>
      <c r="G136" s="2" t="s">
        <v>856</v>
      </c>
      <c r="H136" s="2" t="s">
        <v>840</v>
      </c>
      <c r="I136" s="2"/>
    </row>
    <row r="137" spans="1:9">
      <c r="A137" s="2" t="s">
        <v>809</v>
      </c>
      <c r="B137" s="2"/>
      <c r="C137" s="2"/>
      <c r="D137" s="2"/>
      <c r="E137" s="2"/>
      <c r="F137" s="2"/>
      <c r="G137" s="2"/>
      <c r="H137" s="2"/>
      <c r="I137" s="2"/>
    </row>
    <row r="138" spans="1:9">
      <c r="A138" s="2" t="s">
        <v>810</v>
      </c>
      <c r="B138" s="2"/>
      <c r="C138" s="2"/>
      <c r="D138" s="2"/>
      <c r="E138" s="2"/>
      <c r="F138" s="2"/>
      <c r="G138" s="2"/>
      <c r="H138" s="2"/>
      <c r="I138" s="2"/>
    </row>
    <row r="140" spans="1:9">
      <c r="A140" s="4"/>
      <c r="B140" s="4"/>
      <c r="C140" s="4"/>
      <c r="D140" s="4"/>
      <c r="E140" s="4"/>
      <c r="F140" s="4"/>
      <c r="G140" s="4"/>
      <c r="H140" s="4"/>
      <c r="I140" s="4"/>
    </row>
    <row r="141" spans="1:9">
      <c r="A141" s="4"/>
      <c r="B141" s="4"/>
      <c r="C141" s="4"/>
      <c r="D141" s="4"/>
      <c r="E141" s="4"/>
      <c r="F141" s="4"/>
      <c r="G141" s="4"/>
      <c r="H141" s="4"/>
      <c r="I141" s="4"/>
    </row>
    <row r="142" spans="1:9">
      <c r="A142" s="1"/>
      <c r="B142" t="s">
        <v>890</v>
      </c>
      <c r="H142" t="s">
        <v>843</v>
      </c>
    </row>
    <row r="143" spans="1:9">
      <c r="A143" s="2" t="s">
        <v>805</v>
      </c>
      <c r="B143" s="2" t="s">
        <v>811</v>
      </c>
      <c r="C143" s="2" t="s">
        <v>813</v>
      </c>
      <c r="D143" s="2" t="s">
        <v>816</v>
      </c>
      <c r="E143" s="2" t="s">
        <v>819</v>
      </c>
      <c r="F143" s="2" t="s">
        <v>821</v>
      </c>
      <c r="G143" s="2" t="s">
        <v>824</v>
      </c>
      <c r="H143" s="2" t="s">
        <v>827</v>
      </c>
      <c r="I143" s="2" t="s">
        <v>167</v>
      </c>
    </row>
    <row r="144" spans="1:9">
      <c r="A144" s="2" t="s">
        <v>806</v>
      </c>
      <c r="B144" s="2">
        <v>1131</v>
      </c>
      <c r="C144" s="2">
        <v>1308</v>
      </c>
      <c r="D144" s="2">
        <v>1203</v>
      </c>
      <c r="E144" s="2">
        <v>1271</v>
      </c>
      <c r="F144" s="2">
        <v>1221</v>
      </c>
      <c r="G144" s="2">
        <v>1241</v>
      </c>
      <c r="H144" s="2">
        <v>1294</v>
      </c>
      <c r="I144" s="2" t="s">
        <v>192</v>
      </c>
    </row>
    <row r="145" spans="1:9">
      <c r="A145" s="2" t="s">
        <v>807</v>
      </c>
      <c r="B145" s="2" t="s">
        <v>611</v>
      </c>
      <c r="C145" s="2"/>
      <c r="D145" s="2" t="s">
        <v>692</v>
      </c>
      <c r="E145" s="2" t="s">
        <v>846</v>
      </c>
      <c r="F145" s="2" t="s">
        <v>594</v>
      </c>
      <c r="G145" s="2" t="s">
        <v>847</v>
      </c>
      <c r="H145" s="2" t="s">
        <v>849</v>
      </c>
      <c r="I145" s="2" t="s">
        <v>193</v>
      </c>
    </row>
    <row r="146" spans="1:9">
      <c r="A146" s="2" t="s">
        <v>808</v>
      </c>
      <c r="B146" s="2" t="s">
        <v>815</v>
      </c>
      <c r="C146" s="2" t="s">
        <v>833</v>
      </c>
      <c r="D146" s="2" t="s">
        <v>845</v>
      </c>
      <c r="E146" s="2" t="s">
        <v>823</v>
      </c>
      <c r="F146" s="2" t="s">
        <v>875</v>
      </c>
      <c r="G146" s="2" t="s">
        <v>848</v>
      </c>
      <c r="H146" s="2" t="s">
        <v>829</v>
      </c>
      <c r="I146" s="2" t="s">
        <v>174</v>
      </c>
    </row>
    <row r="147" spans="1:9">
      <c r="A147" s="2" t="s">
        <v>809</v>
      </c>
      <c r="B147" s="2"/>
      <c r="C147" s="2"/>
      <c r="D147" s="2"/>
      <c r="E147" s="2"/>
      <c r="F147" s="2"/>
      <c r="G147" s="2"/>
      <c r="H147" s="2"/>
      <c r="I147" s="2"/>
    </row>
    <row r="148" spans="1:9">
      <c r="A148" s="2" t="s">
        <v>810</v>
      </c>
      <c r="B148" s="2"/>
      <c r="C148" s="2"/>
      <c r="D148" s="2"/>
      <c r="E148" s="2"/>
      <c r="F148" s="2"/>
      <c r="G148" s="2"/>
      <c r="H148" s="2"/>
      <c r="I148" s="2"/>
    </row>
    <row r="149" spans="1:9">
      <c r="A149" s="3"/>
      <c r="B149" s="3"/>
      <c r="C149" s="3"/>
      <c r="D149" s="3"/>
      <c r="E149" s="3"/>
      <c r="F149" s="3"/>
      <c r="G149" s="3"/>
      <c r="H149" s="3"/>
      <c r="I149" s="3"/>
    </row>
    <row r="151" spans="1:9">
      <c r="A151" s="4"/>
      <c r="B151" s="4"/>
      <c r="C151" s="4"/>
      <c r="D151" s="4"/>
      <c r="E151" s="4"/>
      <c r="F151" s="4"/>
      <c r="G151" s="4"/>
      <c r="H151" s="4"/>
      <c r="I151" s="4"/>
    </row>
    <row r="152" spans="1:9">
      <c r="A152" s="1"/>
      <c r="B152" t="s">
        <v>901</v>
      </c>
      <c r="H152" t="s">
        <v>804</v>
      </c>
    </row>
    <row r="153" spans="1:9">
      <c r="A153" s="2" t="s">
        <v>805</v>
      </c>
      <c r="B153" s="2" t="s">
        <v>975</v>
      </c>
      <c r="C153" s="2" t="s">
        <v>816</v>
      </c>
      <c r="D153" s="2" t="s">
        <v>819</v>
      </c>
      <c r="E153" s="2" t="s">
        <v>821</v>
      </c>
      <c r="F153" s="2" t="s">
        <v>824</v>
      </c>
      <c r="G153" s="2" t="s">
        <v>827</v>
      </c>
      <c r="H153" s="2" t="s">
        <v>170</v>
      </c>
      <c r="I153" s="2"/>
    </row>
    <row r="154" spans="1:9">
      <c r="A154" s="2" t="s">
        <v>806</v>
      </c>
      <c r="B154" s="2">
        <v>1116</v>
      </c>
      <c r="C154" s="2">
        <v>1145</v>
      </c>
      <c r="D154" s="2">
        <v>1205</v>
      </c>
      <c r="E154" s="2">
        <v>1275</v>
      </c>
      <c r="F154" s="2">
        <v>1247</v>
      </c>
      <c r="G154" s="2">
        <v>1297</v>
      </c>
      <c r="H154" s="2">
        <v>3223</v>
      </c>
      <c r="I154" s="2"/>
    </row>
    <row r="155" spans="1:9">
      <c r="A155" s="2" t="s">
        <v>807</v>
      </c>
      <c r="B155" s="2" t="s">
        <v>852</v>
      </c>
      <c r="C155" s="2" t="s">
        <v>853</v>
      </c>
      <c r="D155" s="2" t="s">
        <v>675</v>
      </c>
      <c r="E155" s="2" t="s">
        <v>854</v>
      </c>
      <c r="F155" s="2" t="s">
        <v>872</v>
      </c>
      <c r="G155" s="2" t="s">
        <v>628</v>
      </c>
      <c r="H155" s="2" t="s">
        <v>194</v>
      </c>
      <c r="I155" s="2"/>
    </row>
    <row r="156" spans="1:9">
      <c r="A156" s="2" t="s">
        <v>808</v>
      </c>
      <c r="B156" s="2" t="s">
        <v>812</v>
      </c>
      <c r="C156" s="2" t="s">
        <v>815</v>
      </c>
      <c r="D156" s="2" t="s">
        <v>845</v>
      </c>
      <c r="E156" s="2" t="s">
        <v>823</v>
      </c>
      <c r="F156" s="2" t="s">
        <v>848</v>
      </c>
      <c r="G156" s="2" t="s">
        <v>829</v>
      </c>
      <c r="H156" s="2" t="s">
        <v>174</v>
      </c>
      <c r="I156" s="2"/>
    </row>
    <row r="157" spans="1:9">
      <c r="A157" s="2" t="s">
        <v>809</v>
      </c>
      <c r="B157" s="2"/>
      <c r="C157" s="2"/>
      <c r="D157" s="2"/>
      <c r="E157" s="2"/>
      <c r="F157" s="2"/>
      <c r="G157" s="2"/>
      <c r="H157" s="2"/>
      <c r="I157" s="2"/>
    </row>
    <row r="158" spans="1:9">
      <c r="A158" s="2" t="s">
        <v>810</v>
      </c>
      <c r="B158" s="2"/>
      <c r="C158" s="2"/>
      <c r="D158" s="2"/>
      <c r="E158" s="2"/>
      <c r="F158" s="2"/>
      <c r="G158" s="2"/>
      <c r="H158" s="2"/>
      <c r="I158" s="2"/>
    </row>
    <row r="159" spans="1:9">
      <c r="A159" s="3"/>
      <c r="B159" s="3"/>
      <c r="C159" s="3"/>
      <c r="D159" s="3"/>
      <c r="E159" s="3"/>
      <c r="F159" s="3"/>
      <c r="G159" s="3"/>
      <c r="H159" s="3"/>
      <c r="I159" s="3"/>
    </row>
    <row r="161" spans="1:9">
      <c r="A161" s="4"/>
      <c r="B161" s="4"/>
      <c r="C161" s="4"/>
      <c r="D161" s="4"/>
      <c r="E161" s="4"/>
      <c r="F161" s="4"/>
      <c r="G161" s="4"/>
      <c r="H161" s="4"/>
      <c r="I161" s="4"/>
    </row>
    <row r="162" spans="1:9">
      <c r="A162" s="1"/>
      <c r="B162" t="s">
        <v>901</v>
      </c>
      <c r="H162" t="s">
        <v>831</v>
      </c>
    </row>
    <row r="163" spans="1:9">
      <c r="A163" s="2" t="s">
        <v>805</v>
      </c>
      <c r="B163" s="2" t="s">
        <v>975</v>
      </c>
      <c r="C163" s="2" t="s">
        <v>816</v>
      </c>
      <c r="D163" s="2" t="s">
        <v>819</v>
      </c>
      <c r="E163" s="2" t="s">
        <v>821</v>
      </c>
      <c r="F163" s="2" t="s">
        <v>824</v>
      </c>
      <c r="G163" s="2" t="s">
        <v>827</v>
      </c>
      <c r="H163" s="2"/>
      <c r="I163" s="2"/>
    </row>
    <row r="164" spans="1:9">
      <c r="A164" s="2" t="s">
        <v>806</v>
      </c>
      <c r="B164" s="2">
        <v>1127</v>
      </c>
      <c r="C164" s="2">
        <v>1605</v>
      </c>
      <c r="D164" s="2">
        <v>1187</v>
      </c>
      <c r="E164" s="2">
        <v>1277</v>
      </c>
      <c r="F164" s="2">
        <v>1255</v>
      </c>
      <c r="G164" s="2">
        <v>1286</v>
      </c>
      <c r="H164" s="2"/>
      <c r="I164" s="2"/>
    </row>
    <row r="165" spans="1:9">
      <c r="A165" s="2" t="s">
        <v>807</v>
      </c>
      <c r="B165" s="2" t="s">
        <v>608</v>
      </c>
      <c r="C165" s="2" t="s">
        <v>863</v>
      </c>
      <c r="D165" s="2" t="s">
        <v>903</v>
      </c>
      <c r="E165" s="2" t="s">
        <v>865</v>
      </c>
      <c r="F165" s="2" t="s">
        <v>631</v>
      </c>
      <c r="G165" s="2" t="s">
        <v>904</v>
      </c>
      <c r="H165" s="2"/>
      <c r="I165" s="2"/>
    </row>
    <row r="166" spans="1:9">
      <c r="A166" s="2" t="s">
        <v>808</v>
      </c>
      <c r="B166" s="2" t="s">
        <v>812</v>
      </c>
      <c r="C166" s="2" t="s">
        <v>818</v>
      </c>
      <c r="D166" s="2" t="s">
        <v>820</v>
      </c>
      <c r="E166" s="2" t="s">
        <v>823</v>
      </c>
      <c r="F166" s="2" t="s">
        <v>826</v>
      </c>
      <c r="G166" s="2" t="s">
        <v>829</v>
      </c>
      <c r="H166" s="2"/>
      <c r="I166" s="2"/>
    </row>
    <row r="167" spans="1:9">
      <c r="A167" s="2" t="s">
        <v>809</v>
      </c>
      <c r="B167" s="2"/>
      <c r="C167" s="2"/>
      <c r="D167" s="2"/>
      <c r="E167" s="2"/>
      <c r="F167" s="2"/>
      <c r="G167" s="2"/>
      <c r="H167" s="2"/>
      <c r="I167" s="2"/>
    </row>
    <row r="168" spans="1:9">
      <c r="A168" s="2" t="s">
        <v>810</v>
      </c>
      <c r="B168" s="2"/>
      <c r="C168" s="2"/>
      <c r="D168" s="2"/>
      <c r="E168" s="2"/>
      <c r="F168" s="2"/>
      <c r="G168" s="2"/>
      <c r="H168" s="2"/>
      <c r="I168" s="2"/>
    </row>
    <row r="170" spans="1:9">
      <c r="A170" s="4"/>
      <c r="B170" s="4"/>
      <c r="C170" s="4"/>
      <c r="D170" s="4"/>
      <c r="E170" s="4"/>
      <c r="F170" s="4"/>
      <c r="G170" s="4"/>
      <c r="H170" s="4"/>
      <c r="I170" s="4"/>
    </row>
    <row r="171" spans="1:9">
      <c r="A171" s="4"/>
      <c r="B171" s="4"/>
      <c r="C171" s="4"/>
      <c r="D171" s="4"/>
      <c r="E171" s="4"/>
      <c r="F171" s="4"/>
      <c r="G171" s="4"/>
      <c r="H171" s="4"/>
      <c r="I171" s="4"/>
    </row>
    <row r="172" spans="1:9">
      <c r="A172" s="1"/>
      <c r="B172" t="s">
        <v>901</v>
      </c>
      <c r="H172" t="s">
        <v>843</v>
      </c>
    </row>
    <row r="173" spans="1:9">
      <c r="A173" s="2" t="s">
        <v>805</v>
      </c>
      <c r="B173" s="2" t="s">
        <v>975</v>
      </c>
      <c r="C173" s="2" t="s">
        <v>816</v>
      </c>
      <c r="D173" s="2" t="s">
        <v>819</v>
      </c>
      <c r="E173" s="2" t="s">
        <v>821</v>
      </c>
      <c r="F173" s="2" t="s">
        <v>1008</v>
      </c>
      <c r="G173" s="2" t="s">
        <v>281</v>
      </c>
      <c r="H173" s="2"/>
      <c r="I173" s="2"/>
    </row>
    <row r="174" spans="1:9">
      <c r="A174" s="2" t="s">
        <v>806</v>
      </c>
      <c r="B174" s="2">
        <v>1136</v>
      </c>
      <c r="C174" s="2">
        <v>1506</v>
      </c>
      <c r="D174" s="2">
        <v>1196</v>
      </c>
      <c r="E174" s="2">
        <v>1217</v>
      </c>
      <c r="F174" s="2">
        <v>1267</v>
      </c>
      <c r="G174" s="2">
        <v>1252</v>
      </c>
      <c r="H174" s="2"/>
      <c r="I174" s="2"/>
    </row>
    <row r="175" spans="1:9">
      <c r="A175" s="2" t="s">
        <v>807</v>
      </c>
      <c r="B175" s="2" t="s">
        <v>869</v>
      </c>
      <c r="C175" s="2" t="s">
        <v>688</v>
      </c>
      <c r="D175" s="2" t="s">
        <v>905</v>
      </c>
      <c r="E175" s="2" t="s">
        <v>871</v>
      </c>
      <c r="F175" s="2" t="s">
        <v>906</v>
      </c>
      <c r="G175" s="2" t="s">
        <v>254</v>
      </c>
      <c r="H175" s="2"/>
      <c r="I175" s="2"/>
    </row>
    <row r="176" spans="1:9">
      <c r="A176" s="2" t="s">
        <v>808</v>
      </c>
      <c r="B176" s="2" t="s">
        <v>815</v>
      </c>
      <c r="C176" s="2" t="s">
        <v>834</v>
      </c>
      <c r="D176" s="2" t="s">
        <v>836</v>
      </c>
      <c r="E176" s="2" t="s">
        <v>838</v>
      </c>
      <c r="F176" s="2" t="s">
        <v>840</v>
      </c>
      <c r="G176" s="2" t="s">
        <v>196</v>
      </c>
      <c r="H176" s="2"/>
      <c r="I176" s="2"/>
    </row>
    <row r="177" spans="1:9">
      <c r="A177" s="2" t="s">
        <v>809</v>
      </c>
      <c r="B177" s="2"/>
      <c r="C177" s="2"/>
      <c r="D177" s="2"/>
      <c r="E177" s="2"/>
      <c r="F177" s="2"/>
      <c r="G177" s="2"/>
      <c r="H177" s="2"/>
      <c r="I177" s="2"/>
    </row>
    <row r="178" spans="1:9">
      <c r="A178" s="2" t="s">
        <v>810</v>
      </c>
      <c r="B178" s="2"/>
      <c r="C178" s="2"/>
      <c r="D178" s="2"/>
      <c r="E178" s="2"/>
      <c r="F178" s="2"/>
      <c r="G178" s="2"/>
      <c r="H178" s="2"/>
      <c r="I178" s="2"/>
    </row>
    <row r="179" spans="1:9">
      <c r="A179" s="3"/>
      <c r="B179" s="3"/>
      <c r="C179" s="3"/>
      <c r="D179" s="3"/>
      <c r="E179" s="3"/>
      <c r="F179" s="3"/>
      <c r="G179" s="3"/>
      <c r="H179" s="3"/>
      <c r="I179" s="3"/>
    </row>
    <row r="181" spans="1:9">
      <c r="A181" s="4"/>
      <c r="B181" s="4"/>
      <c r="C181" s="4"/>
      <c r="D181" s="4"/>
      <c r="E181" s="4"/>
      <c r="F181" s="4"/>
      <c r="G181" s="4"/>
      <c r="H181" s="4"/>
      <c r="I181" s="4"/>
    </row>
    <row r="182" spans="1:9">
      <c r="A182" s="1"/>
      <c r="B182" t="s">
        <v>907</v>
      </c>
      <c r="H182" t="s">
        <v>804</v>
      </c>
    </row>
    <row r="183" spans="1:9">
      <c r="A183" s="2" t="s">
        <v>805</v>
      </c>
      <c r="B183" s="2" t="s">
        <v>975</v>
      </c>
      <c r="C183" s="2" t="s">
        <v>816</v>
      </c>
      <c r="D183" s="2" t="s">
        <v>819</v>
      </c>
      <c r="E183" s="2" t="s">
        <v>821</v>
      </c>
      <c r="F183" s="2" t="s">
        <v>824</v>
      </c>
      <c r="G183" s="2" t="s">
        <v>827</v>
      </c>
      <c r="H183" s="2" t="s">
        <v>387</v>
      </c>
      <c r="I183" s="2"/>
    </row>
    <row r="184" spans="1:9">
      <c r="A184" s="2" t="s">
        <v>806</v>
      </c>
      <c r="B184" s="2">
        <v>2411</v>
      </c>
      <c r="C184" s="2">
        <v>2421</v>
      </c>
      <c r="D184" s="2">
        <v>2433</v>
      </c>
      <c r="E184" s="2">
        <v>2515</v>
      </c>
      <c r="F184" s="2">
        <v>2523</v>
      </c>
      <c r="G184" s="2">
        <v>2212</v>
      </c>
      <c r="H184" s="2">
        <v>2312</v>
      </c>
      <c r="I184" s="2"/>
    </row>
    <row r="185" spans="1:9">
      <c r="A185" s="2" t="s">
        <v>807</v>
      </c>
      <c r="B185" s="2" t="s">
        <v>698</v>
      </c>
      <c r="C185" s="2" t="s">
        <v>701</v>
      </c>
      <c r="D185" s="2" t="s">
        <v>703</v>
      </c>
      <c r="E185" s="2" t="s">
        <v>998</v>
      </c>
      <c r="F185" s="2" t="s">
        <v>999</v>
      </c>
      <c r="G185" s="2" t="s">
        <v>1000</v>
      </c>
      <c r="H185" s="2" t="s">
        <v>508</v>
      </c>
      <c r="I185" s="2"/>
    </row>
    <row r="186" spans="1:9">
      <c r="A186" s="2" t="s">
        <v>808</v>
      </c>
      <c r="B186" s="2" t="s">
        <v>815</v>
      </c>
      <c r="C186" s="2" t="s">
        <v>815</v>
      </c>
      <c r="D186" s="2" t="s">
        <v>815</v>
      </c>
      <c r="E186" s="2" t="s">
        <v>812</v>
      </c>
      <c r="F186" s="2" t="s">
        <v>812</v>
      </c>
      <c r="G186" s="2" t="s">
        <v>882</v>
      </c>
      <c r="H186" s="2" t="s">
        <v>389</v>
      </c>
      <c r="I186" s="2"/>
    </row>
    <row r="187" spans="1:9">
      <c r="A187" s="2" t="s">
        <v>809</v>
      </c>
      <c r="B187" s="2"/>
      <c r="C187" s="2"/>
      <c r="D187" s="2"/>
      <c r="E187" s="2"/>
      <c r="F187" s="2"/>
      <c r="G187" s="2"/>
      <c r="H187" s="2"/>
      <c r="I187" s="2"/>
    </row>
    <row r="188" spans="1:9">
      <c r="A188" s="2" t="s">
        <v>810</v>
      </c>
      <c r="B188" s="2"/>
      <c r="C188" s="2"/>
      <c r="D188" s="2"/>
      <c r="E188" s="2"/>
      <c r="F188" s="2"/>
      <c r="G188" s="2"/>
      <c r="H188" s="2"/>
      <c r="I188" s="2"/>
    </row>
    <row r="189" spans="1:9">
      <c r="A189" s="3"/>
      <c r="B189" s="3"/>
      <c r="C189" s="3"/>
      <c r="D189" s="3"/>
      <c r="E189" s="3"/>
      <c r="F189" s="3"/>
      <c r="G189" s="3"/>
      <c r="H189" s="3"/>
      <c r="I189" s="3"/>
    </row>
    <row r="191" spans="1:9">
      <c r="A191" s="4"/>
      <c r="B191" s="4"/>
      <c r="C191" s="4"/>
      <c r="D191" s="4"/>
      <c r="E191" s="4"/>
      <c r="F191" s="4"/>
      <c r="G191" s="4"/>
      <c r="H191" s="4"/>
      <c r="I191" s="4"/>
    </row>
    <row r="192" spans="1:9">
      <c r="A192" s="1"/>
      <c r="B192" t="s">
        <v>907</v>
      </c>
      <c r="H192" t="s">
        <v>831</v>
      </c>
    </row>
    <row r="193" spans="1:9">
      <c r="A193" s="2" t="s">
        <v>805</v>
      </c>
      <c r="B193" s="2" t="s">
        <v>975</v>
      </c>
      <c r="C193" s="2" t="s">
        <v>816</v>
      </c>
      <c r="D193" s="2" t="s">
        <v>819</v>
      </c>
      <c r="E193" s="2" t="s">
        <v>821</v>
      </c>
      <c r="F193" s="2" t="s">
        <v>824</v>
      </c>
      <c r="G193" s="2" t="s">
        <v>827</v>
      </c>
      <c r="H193" s="2"/>
      <c r="I193" s="2"/>
    </row>
    <row r="194" spans="1:9">
      <c r="A194" s="2" t="s">
        <v>806</v>
      </c>
      <c r="B194" s="2">
        <v>2413</v>
      </c>
      <c r="C194" s="2">
        <v>2422</v>
      </c>
      <c r="D194" s="2">
        <v>2435</v>
      </c>
      <c r="E194" s="2">
        <v>2521</v>
      </c>
      <c r="F194" s="2">
        <v>2531</v>
      </c>
      <c r="G194" s="2">
        <v>2215</v>
      </c>
      <c r="H194" s="2"/>
      <c r="I194" s="2"/>
    </row>
    <row r="195" spans="1:9">
      <c r="A195" s="2" t="s">
        <v>807</v>
      </c>
      <c r="B195" s="2" t="s">
        <v>699</v>
      </c>
      <c r="C195" s="2" t="s">
        <v>997</v>
      </c>
      <c r="D195" s="2" t="s">
        <v>841</v>
      </c>
      <c r="E195" s="2" t="s">
        <v>992</v>
      </c>
      <c r="F195" s="2" t="s">
        <v>993</v>
      </c>
      <c r="G195" s="2" t="s">
        <v>1036</v>
      </c>
      <c r="H195" s="2"/>
      <c r="I195" s="2"/>
    </row>
    <row r="196" spans="1:9">
      <c r="A196" s="2" t="s">
        <v>808</v>
      </c>
      <c r="B196" s="2" t="s">
        <v>815</v>
      </c>
      <c r="C196" s="2" t="s">
        <v>815</v>
      </c>
      <c r="D196" s="2" t="s">
        <v>815</v>
      </c>
      <c r="E196" s="2" t="s">
        <v>812</v>
      </c>
      <c r="F196" s="2" t="s">
        <v>812</v>
      </c>
      <c r="G196" s="2" t="s">
        <v>882</v>
      </c>
      <c r="H196" s="2"/>
      <c r="I196" s="2"/>
    </row>
    <row r="197" spans="1:9">
      <c r="A197" s="2" t="s">
        <v>809</v>
      </c>
      <c r="B197" s="2"/>
      <c r="C197" s="2"/>
      <c r="D197" s="2"/>
      <c r="E197" s="2"/>
      <c r="F197" s="2"/>
      <c r="G197" s="2"/>
      <c r="H197" s="2"/>
      <c r="I197" s="2"/>
    </row>
    <row r="198" spans="1:9">
      <c r="A198" s="2" t="s">
        <v>810</v>
      </c>
      <c r="B198" s="2"/>
      <c r="C198" s="2"/>
      <c r="D198" s="2"/>
      <c r="E198" s="2"/>
      <c r="F198" s="2"/>
      <c r="G198" s="2"/>
      <c r="H198" s="2"/>
      <c r="I198" s="2"/>
    </row>
    <row r="200" spans="1:9">
      <c r="A200" s="4"/>
      <c r="B200" s="4"/>
      <c r="C200" s="4"/>
      <c r="D200" s="4"/>
      <c r="E200" s="4"/>
      <c r="F200" s="4"/>
      <c r="G200" s="4"/>
      <c r="H200" s="4"/>
      <c r="I200" s="4"/>
    </row>
    <row r="201" spans="1:9">
      <c r="A201" s="4"/>
      <c r="B201" s="4"/>
      <c r="C201" s="4"/>
      <c r="D201" s="4"/>
      <c r="E201" s="4"/>
      <c r="F201" s="4"/>
      <c r="G201" s="4"/>
      <c r="H201" s="4"/>
      <c r="I201" s="4"/>
    </row>
    <row r="202" spans="1:9">
      <c r="A202" s="1"/>
      <c r="B202" t="s">
        <v>908</v>
      </c>
      <c r="H202" t="s">
        <v>804</v>
      </c>
    </row>
    <row r="203" spans="1:9">
      <c r="A203" s="2" t="s">
        <v>805</v>
      </c>
      <c r="B203" s="2" t="s">
        <v>975</v>
      </c>
      <c r="C203" s="2" t="s">
        <v>816</v>
      </c>
      <c r="D203" s="2" t="s">
        <v>819</v>
      </c>
      <c r="E203" s="2" t="s">
        <v>821</v>
      </c>
      <c r="F203" s="2" t="s">
        <v>1008</v>
      </c>
      <c r="G203" s="2" t="s">
        <v>281</v>
      </c>
      <c r="H203" s="2"/>
      <c r="I203" s="2"/>
    </row>
    <row r="204" spans="1:9">
      <c r="A204" s="2" t="s">
        <v>806</v>
      </c>
      <c r="B204" s="2">
        <v>2417</v>
      </c>
      <c r="C204" s="2" t="s">
        <v>677</v>
      </c>
      <c r="D204" s="2" t="s">
        <v>678</v>
      </c>
      <c r="E204" s="2">
        <v>2538</v>
      </c>
      <c r="F204" s="2" t="s">
        <v>681</v>
      </c>
      <c r="G204" s="2">
        <v>1256</v>
      </c>
      <c r="H204" s="2"/>
      <c r="I204" s="2"/>
    </row>
    <row r="205" spans="1:9">
      <c r="A205" s="2" t="s">
        <v>807</v>
      </c>
      <c r="B205" s="2" t="s">
        <v>700</v>
      </c>
      <c r="C205" s="2" t="s">
        <v>704</v>
      </c>
      <c r="D205" s="2" t="s">
        <v>1039</v>
      </c>
      <c r="E205" s="2" t="s">
        <v>880</v>
      </c>
      <c r="F205" s="2" t="s">
        <v>883</v>
      </c>
      <c r="G205" s="2" t="s">
        <v>255</v>
      </c>
      <c r="H205" s="2"/>
      <c r="I205" s="2"/>
    </row>
    <row r="206" spans="1:9">
      <c r="A206" s="2" t="s">
        <v>808</v>
      </c>
      <c r="B206" s="2" t="s">
        <v>815</v>
      </c>
      <c r="C206" s="2" t="s">
        <v>815</v>
      </c>
      <c r="D206" s="2" t="s">
        <v>812</v>
      </c>
      <c r="E206" s="2" t="s">
        <v>812</v>
      </c>
      <c r="F206" s="2" t="s">
        <v>882</v>
      </c>
      <c r="G206" s="2" t="s">
        <v>196</v>
      </c>
      <c r="H206" s="2"/>
      <c r="I206" s="2"/>
    </row>
    <row r="207" spans="1:9">
      <c r="A207" s="2" t="s">
        <v>809</v>
      </c>
      <c r="B207" s="2"/>
      <c r="C207" s="2"/>
      <c r="D207" s="2"/>
      <c r="E207" s="2"/>
      <c r="F207" s="2"/>
      <c r="G207" s="2"/>
      <c r="H207" s="2"/>
      <c r="I207" s="2"/>
    </row>
    <row r="208" spans="1:9">
      <c r="A208" s="2" t="s">
        <v>810</v>
      </c>
      <c r="B208" s="2"/>
      <c r="C208" s="2"/>
      <c r="D208" s="2"/>
      <c r="E208" s="2"/>
      <c r="F208" s="2"/>
      <c r="G208" s="2"/>
      <c r="H208" s="2"/>
      <c r="I208" s="2"/>
    </row>
    <row r="209" spans="1:9">
      <c r="A209" s="3"/>
      <c r="B209" s="3"/>
      <c r="C209" s="3"/>
      <c r="D209" s="3"/>
      <c r="E209" s="3"/>
      <c r="F209" s="3"/>
      <c r="G209" s="3"/>
      <c r="H209" s="3"/>
      <c r="I209" s="3"/>
    </row>
    <row r="211" spans="1:9">
      <c r="A211" s="4"/>
      <c r="B211" s="4"/>
      <c r="C211" s="4"/>
      <c r="D211" s="4"/>
      <c r="E211" s="4"/>
      <c r="F211" s="4"/>
      <c r="G211" s="4"/>
      <c r="H211" s="4"/>
      <c r="I211" s="4"/>
    </row>
    <row r="212" spans="1:9">
      <c r="A212" s="1"/>
      <c r="B212" t="s">
        <v>908</v>
      </c>
      <c r="H212" t="s">
        <v>831</v>
      </c>
    </row>
    <row r="213" spans="1:9">
      <c r="A213" s="2" t="s">
        <v>805</v>
      </c>
      <c r="B213" s="2" t="s">
        <v>1013</v>
      </c>
      <c r="C213" s="2" t="s">
        <v>819</v>
      </c>
      <c r="D213" s="2" t="s">
        <v>821</v>
      </c>
      <c r="E213" s="2" t="s">
        <v>1008</v>
      </c>
      <c r="F213" s="2" t="s">
        <v>279</v>
      </c>
      <c r="G213" s="2" t="s">
        <v>281</v>
      </c>
      <c r="H213" s="2"/>
      <c r="I213" s="2"/>
    </row>
    <row r="214" spans="1:9">
      <c r="A214" s="2" t="s">
        <v>806</v>
      </c>
      <c r="B214" s="2">
        <v>2427</v>
      </c>
      <c r="C214" s="2">
        <v>2519</v>
      </c>
      <c r="D214" s="2" t="s">
        <v>679</v>
      </c>
      <c r="E214" s="2" t="s">
        <v>680</v>
      </c>
      <c r="F214" s="2">
        <v>1236</v>
      </c>
      <c r="G214" s="2">
        <v>1261</v>
      </c>
      <c r="H214" s="2"/>
      <c r="I214" s="2"/>
    </row>
    <row r="215" spans="1:9">
      <c r="A215" s="2" t="s">
        <v>807</v>
      </c>
      <c r="B215" s="2" t="s">
        <v>702</v>
      </c>
      <c r="C215" s="2" t="s">
        <v>879</v>
      </c>
      <c r="D215" s="2" t="s">
        <v>1006</v>
      </c>
      <c r="E215" s="2" t="s">
        <v>1007</v>
      </c>
      <c r="F215" s="2" t="s">
        <v>253</v>
      </c>
      <c r="G215" s="2" t="s">
        <v>256</v>
      </c>
      <c r="H215" s="2"/>
      <c r="I215" s="2"/>
    </row>
    <row r="216" spans="1:9">
      <c r="A216" s="2" t="s">
        <v>808</v>
      </c>
      <c r="B216" s="2" t="s">
        <v>815</v>
      </c>
      <c r="C216" s="2" t="s">
        <v>812</v>
      </c>
      <c r="D216" s="2" t="s">
        <v>812</v>
      </c>
      <c r="E216" s="2" t="s">
        <v>812</v>
      </c>
      <c r="F216" s="2" t="s">
        <v>197</v>
      </c>
      <c r="G216" s="2" t="s">
        <v>198</v>
      </c>
      <c r="H216" s="2"/>
      <c r="I216" s="2"/>
    </row>
    <row r="217" spans="1:9">
      <c r="A217" s="2" t="s">
        <v>809</v>
      </c>
      <c r="B217" s="2"/>
      <c r="C217" s="2"/>
      <c r="D217" s="2"/>
      <c r="E217" s="2"/>
      <c r="F217" s="2"/>
      <c r="G217" s="2"/>
      <c r="H217" s="2"/>
      <c r="I217" s="2"/>
    </row>
    <row r="218" spans="1:9">
      <c r="A218" s="2" t="s">
        <v>810</v>
      </c>
      <c r="B218" s="2"/>
      <c r="C218" s="2"/>
      <c r="D218" s="2"/>
      <c r="E218" s="2"/>
      <c r="F218" s="2"/>
      <c r="G218" s="2"/>
      <c r="H218" s="2"/>
      <c r="I218" s="2"/>
    </row>
    <row r="219" spans="1:9">
      <c r="A219" s="3"/>
      <c r="B219" s="3"/>
      <c r="C219" s="3"/>
      <c r="D219" s="3"/>
      <c r="E219" s="3"/>
      <c r="F219" s="3"/>
      <c r="G219" s="3"/>
      <c r="H219" s="3"/>
      <c r="I219" s="3"/>
    </row>
    <row r="221" spans="1:9">
      <c r="A221" s="4"/>
      <c r="B221" s="4"/>
      <c r="C221" s="4"/>
      <c r="D221" s="4"/>
      <c r="E221" s="4"/>
      <c r="F221" s="4"/>
      <c r="G221" s="4"/>
      <c r="H221" s="4"/>
      <c r="I221" s="4"/>
    </row>
    <row r="222" spans="1:9">
      <c r="A222" s="1"/>
      <c r="B222" t="s">
        <v>910</v>
      </c>
      <c r="H222" t="s">
        <v>804</v>
      </c>
    </row>
    <row r="223" spans="1:9">
      <c r="A223" s="2" t="s">
        <v>805</v>
      </c>
      <c r="B223" s="2" t="s">
        <v>811</v>
      </c>
      <c r="C223" s="2" t="s">
        <v>813</v>
      </c>
      <c r="D223" s="2" t="s">
        <v>816</v>
      </c>
      <c r="E223" s="2" t="s">
        <v>819</v>
      </c>
      <c r="F223" s="2" t="s">
        <v>821</v>
      </c>
      <c r="G223" s="2" t="s">
        <v>824</v>
      </c>
      <c r="H223" s="2" t="s">
        <v>387</v>
      </c>
      <c r="I223" s="2"/>
    </row>
    <row r="224" spans="1:9">
      <c r="A224" s="2" t="s">
        <v>806</v>
      </c>
      <c r="B224" s="2">
        <v>1117</v>
      </c>
      <c r="C224" s="2">
        <v>1148</v>
      </c>
      <c r="D224" s="2">
        <v>1206</v>
      </c>
      <c r="E224" s="2">
        <v>1276</v>
      </c>
      <c r="F224" s="2">
        <v>1235</v>
      </c>
      <c r="G224" s="2">
        <v>1257</v>
      </c>
      <c r="H224" s="2">
        <v>1286</v>
      </c>
      <c r="I224" s="2"/>
    </row>
    <row r="225" spans="1:9">
      <c r="A225" s="2" t="s">
        <v>807</v>
      </c>
      <c r="B225" s="2" t="s">
        <v>1045</v>
      </c>
      <c r="C225" s="2" t="s">
        <v>1046</v>
      </c>
      <c r="D225" s="2" t="s">
        <v>694</v>
      </c>
      <c r="E225" s="2" t="s">
        <v>1047</v>
      </c>
      <c r="F225" s="2" t="s">
        <v>1048</v>
      </c>
      <c r="G225" s="2" t="s">
        <v>868</v>
      </c>
      <c r="H225" s="2" t="s">
        <v>676</v>
      </c>
      <c r="I225" s="2"/>
    </row>
    <row r="226" spans="1:9">
      <c r="A226" s="2" t="s">
        <v>808</v>
      </c>
      <c r="B226" s="2" t="s">
        <v>812</v>
      </c>
      <c r="C226" s="2" t="s">
        <v>815</v>
      </c>
      <c r="D226" s="2" t="s">
        <v>845</v>
      </c>
      <c r="E226" s="2" t="s">
        <v>823</v>
      </c>
      <c r="F226" s="2" t="s">
        <v>856</v>
      </c>
      <c r="G226" s="2" t="s">
        <v>826</v>
      </c>
      <c r="H226" s="2" t="s">
        <v>735</v>
      </c>
      <c r="I226" s="2"/>
    </row>
    <row r="227" spans="1:9">
      <c r="A227" s="2" t="s">
        <v>809</v>
      </c>
      <c r="B227" s="2"/>
      <c r="C227" s="2"/>
      <c r="D227" s="2"/>
      <c r="E227" s="2"/>
      <c r="F227" s="2"/>
      <c r="G227" s="2"/>
      <c r="H227" s="2"/>
      <c r="I227" s="2"/>
    </row>
    <row r="228" spans="1:9">
      <c r="A228" s="2" t="s">
        <v>810</v>
      </c>
      <c r="B228" s="2"/>
      <c r="C228" s="2"/>
      <c r="D228" s="2"/>
      <c r="E228" s="2"/>
      <c r="F228" s="2"/>
      <c r="G228" s="2"/>
      <c r="H228" s="2"/>
      <c r="I228" s="2"/>
    </row>
    <row r="230" spans="1:9">
      <c r="A230" s="4"/>
      <c r="B230" s="4"/>
      <c r="C230" s="4"/>
      <c r="D230" s="4"/>
      <c r="E230" s="4"/>
      <c r="F230" s="4"/>
      <c r="G230" s="4"/>
      <c r="H230" s="4"/>
      <c r="I230" s="4"/>
    </row>
    <row r="231" spans="1:9">
      <c r="A231" s="4"/>
      <c r="B231" s="4"/>
      <c r="C231" s="4"/>
      <c r="D231" s="4"/>
      <c r="E231" s="4"/>
      <c r="F231" s="4"/>
      <c r="G231" s="4"/>
      <c r="H231" s="4"/>
      <c r="I231" s="4"/>
    </row>
    <row r="232" spans="1:9">
      <c r="A232" s="1"/>
      <c r="B232" t="s">
        <v>910</v>
      </c>
      <c r="H232" t="s">
        <v>831</v>
      </c>
    </row>
    <row r="233" spans="1:9">
      <c r="A233" s="2" t="s">
        <v>805</v>
      </c>
      <c r="B233" s="2" t="s">
        <v>975</v>
      </c>
      <c r="C233" s="2" t="s">
        <v>816</v>
      </c>
      <c r="D233" s="2" t="s">
        <v>819</v>
      </c>
      <c r="E233" s="2" t="s">
        <v>821</v>
      </c>
      <c r="F233" s="2" t="s">
        <v>824</v>
      </c>
      <c r="G233" s="2" t="s">
        <v>827</v>
      </c>
      <c r="H233" s="2"/>
      <c r="I233" s="2"/>
    </row>
    <row r="234" spans="1:9">
      <c r="A234" s="2" t="s">
        <v>806</v>
      </c>
      <c r="B234" s="2">
        <v>1128</v>
      </c>
      <c r="C234" s="2">
        <v>1606</v>
      </c>
      <c r="D234" s="2">
        <v>1187</v>
      </c>
      <c r="E234" s="2">
        <v>1216</v>
      </c>
      <c r="F234" s="2">
        <v>1237</v>
      </c>
      <c r="G234" s="2">
        <v>1265</v>
      </c>
      <c r="H234" s="2"/>
      <c r="I234" s="2"/>
    </row>
    <row r="235" spans="1:9">
      <c r="A235" s="2" t="s">
        <v>807</v>
      </c>
      <c r="B235" s="2" t="s">
        <v>1051</v>
      </c>
      <c r="C235" s="2" t="s">
        <v>1052</v>
      </c>
      <c r="D235" s="2" t="s">
        <v>903</v>
      </c>
      <c r="E235" s="2" t="s">
        <v>1053</v>
      </c>
      <c r="F235" s="2" t="s">
        <v>855</v>
      </c>
      <c r="G235" s="2" t="s">
        <v>1054</v>
      </c>
      <c r="H235" s="2"/>
      <c r="I235" s="2"/>
    </row>
    <row r="236" spans="1:9">
      <c r="A236" s="2" t="s">
        <v>808</v>
      </c>
      <c r="B236" s="2" t="s">
        <v>812</v>
      </c>
      <c r="C236" s="2" t="s">
        <v>818</v>
      </c>
      <c r="D236" s="2" t="s">
        <v>820</v>
      </c>
      <c r="E236" s="2" t="s">
        <v>838</v>
      </c>
      <c r="F236" s="2" t="s">
        <v>856</v>
      </c>
      <c r="G236" s="2" t="s">
        <v>840</v>
      </c>
      <c r="H236" s="2"/>
      <c r="I236" s="2"/>
    </row>
    <row r="237" spans="1:9">
      <c r="A237" s="2" t="s">
        <v>809</v>
      </c>
      <c r="B237" s="2"/>
      <c r="C237" s="2"/>
      <c r="D237" s="2"/>
      <c r="E237" s="2"/>
      <c r="F237" s="2"/>
      <c r="G237" s="2"/>
      <c r="H237" s="2"/>
      <c r="I237" s="2"/>
    </row>
    <row r="238" spans="1:9">
      <c r="A238" s="2" t="s">
        <v>810</v>
      </c>
      <c r="B238" s="2"/>
      <c r="C238" s="2"/>
      <c r="D238" s="2"/>
      <c r="E238" s="2"/>
      <c r="F238" s="2"/>
      <c r="G238" s="2"/>
      <c r="H238" s="2"/>
      <c r="I238" s="2"/>
    </row>
    <row r="239" spans="1:9">
      <c r="A239" s="3"/>
      <c r="B239" s="3"/>
      <c r="C239" s="3"/>
      <c r="D239" s="3"/>
      <c r="E239" s="3"/>
      <c r="F239" s="3"/>
      <c r="G239" s="3"/>
      <c r="H239" s="3"/>
      <c r="I239" s="3"/>
    </row>
    <row r="241" spans="1:9">
      <c r="A241" s="4"/>
      <c r="B241" s="4"/>
      <c r="C241" s="4"/>
      <c r="D241" s="4"/>
      <c r="E241" s="4"/>
      <c r="F241" s="4"/>
      <c r="G241" s="4"/>
      <c r="H241" s="4"/>
      <c r="I241" s="4"/>
    </row>
    <row r="242" spans="1:9">
      <c r="A242" s="1"/>
      <c r="B242" t="s">
        <v>910</v>
      </c>
      <c r="H242" t="s">
        <v>843</v>
      </c>
    </row>
    <row r="243" spans="1:9">
      <c r="A243" s="2" t="s">
        <v>805</v>
      </c>
      <c r="B243" s="2" t="s">
        <v>975</v>
      </c>
      <c r="C243" s="2" t="s">
        <v>816</v>
      </c>
      <c r="D243" s="2" t="s">
        <v>819</v>
      </c>
      <c r="E243" s="2" t="s">
        <v>821</v>
      </c>
      <c r="F243" s="2" t="s">
        <v>824</v>
      </c>
      <c r="G243" s="2" t="s">
        <v>899</v>
      </c>
      <c r="H243" s="2"/>
      <c r="I243" s="2"/>
    </row>
    <row r="244" spans="1:9">
      <c r="A244" s="2" t="s">
        <v>806</v>
      </c>
      <c r="B244" s="2">
        <v>1135</v>
      </c>
      <c r="C244" s="2">
        <v>1508</v>
      </c>
      <c r="D244" s="2">
        <v>1195</v>
      </c>
      <c r="E244" s="2">
        <v>1225</v>
      </c>
      <c r="F244" s="2">
        <v>1246</v>
      </c>
      <c r="G244" s="2">
        <v>1295</v>
      </c>
      <c r="H244" s="2"/>
      <c r="I244" s="2"/>
    </row>
    <row r="245" spans="1:9">
      <c r="A245" s="2" t="s">
        <v>807</v>
      </c>
      <c r="B245" s="2" t="s">
        <v>1058</v>
      </c>
      <c r="C245" s="2" t="s">
        <v>690</v>
      </c>
      <c r="D245" s="2" t="s">
        <v>1059</v>
      </c>
      <c r="E245" s="2" t="s">
        <v>1060</v>
      </c>
      <c r="F245" s="2" t="s">
        <v>1061</v>
      </c>
      <c r="G245" s="2" t="s">
        <v>696</v>
      </c>
      <c r="H245" s="2"/>
      <c r="I245" s="2"/>
    </row>
    <row r="246" spans="1:9">
      <c r="A246" s="2" t="s">
        <v>808</v>
      </c>
      <c r="B246" s="2" t="s">
        <v>815</v>
      </c>
      <c r="C246" s="2" t="s">
        <v>834</v>
      </c>
      <c r="D246" s="2" t="s">
        <v>836</v>
      </c>
      <c r="E246" s="2" t="s">
        <v>875</v>
      </c>
      <c r="F246" s="2" t="s">
        <v>848</v>
      </c>
      <c r="G246" s="2" t="s">
        <v>895</v>
      </c>
      <c r="H246" s="2"/>
      <c r="I246" s="2"/>
    </row>
    <row r="247" spans="1:9">
      <c r="A247" s="2" t="s">
        <v>809</v>
      </c>
      <c r="B247" s="2"/>
      <c r="C247" s="2"/>
      <c r="D247" s="2"/>
      <c r="E247" s="2"/>
      <c r="F247" s="2"/>
      <c r="G247" s="2"/>
      <c r="H247" s="2"/>
      <c r="I247" s="2"/>
    </row>
    <row r="248" spans="1:9">
      <c r="A248" s="2" t="s">
        <v>810</v>
      </c>
      <c r="B248" s="2"/>
      <c r="C248" s="2"/>
      <c r="D248" s="2"/>
      <c r="E248" s="2"/>
      <c r="F248" s="2"/>
      <c r="G248" s="2"/>
      <c r="H248" s="2"/>
      <c r="I248" s="2"/>
    </row>
    <row r="249" spans="1:9">
      <c r="A249" s="3"/>
      <c r="B249" s="3"/>
      <c r="C249" s="3"/>
      <c r="D249" s="3"/>
      <c r="E249" s="3"/>
      <c r="F249" s="3"/>
      <c r="G249" s="3"/>
      <c r="H249" s="3"/>
      <c r="I249" s="3"/>
    </row>
    <row r="251" spans="1:9">
      <c r="A251" s="4"/>
      <c r="B251" s="4"/>
      <c r="C251" s="4"/>
      <c r="D251" s="4"/>
      <c r="E251" s="4"/>
      <c r="F251" s="4"/>
      <c r="G251" s="4"/>
      <c r="H251" s="4"/>
      <c r="I251" s="4"/>
    </row>
    <row r="252" spans="1:9">
      <c r="A252" s="1"/>
      <c r="B252" t="s">
        <v>934</v>
      </c>
      <c r="H252" t="s">
        <v>804</v>
      </c>
    </row>
    <row r="253" spans="1:9">
      <c r="A253" s="2" t="s">
        <v>805</v>
      </c>
      <c r="B253" s="2" t="s">
        <v>811</v>
      </c>
      <c r="C253" s="2" t="s">
        <v>813</v>
      </c>
      <c r="D253" s="2" t="s">
        <v>816</v>
      </c>
      <c r="E253" s="2" t="s">
        <v>819</v>
      </c>
      <c r="F253" s="2" t="s">
        <v>821</v>
      </c>
      <c r="G253" s="2" t="s">
        <v>824</v>
      </c>
      <c r="H253" s="2" t="s">
        <v>827</v>
      </c>
      <c r="I253" s="2"/>
    </row>
    <row r="254" spans="1:9">
      <c r="A254" s="2" t="s">
        <v>806</v>
      </c>
      <c r="B254" s="2">
        <v>3119</v>
      </c>
      <c r="C254" s="2" t="s">
        <v>501</v>
      </c>
      <c r="D254" s="2">
        <v>3129</v>
      </c>
      <c r="E254" s="2">
        <v>3137</v>
      </c>
      <c r="F254" s="2">
        <v>3139</v>
      </c>
      <c r="G254" s="2">
        <v>3219</v>
      </c>
      <c r="H254" s="2" t="s">
        <v>685</v>
      </c>
      <c r="I254" s="2"/>
    </row>
    <row r="255" spans="1:9">
      <c r="A255" s="2" t="s">
        <v>807</v>
      </c>
      <c r="B255" s="2" t="s">
        <v>711</v>
      </c>
      <c r="C255" s="2" t="s">
        <v>712</v>
      </c>
      <c r="D255" s="2" t="s">
        <v>719</v>
      </c>
      <c r="E255" s="2" t="s">
        <v>725</v>
      </c>
      <c r="F255" s="2" t="s">
        <v>727</v>
      </c>
      <c r="G255" s="2" t="s">
        <v>67</v>
      </c>
      <c r="H255" s="2" t="s">
        <v>68</v>
      </c>
      <c r="I255" s="2"/>
    </row>
    <row r="256" spans="1:9">
      <c r="A256" s="2" t="s">
        <v>808</v>
      </c>
      <c r="B256" s="2" t="s">
        <v>882</v>
      </c>
      <c r="C256" s="2" t="s">
        <v>882</v>
      </c>
      <c r="D256" s="2" t="s">
        <v>882</v>
      </c>
      <c r="E256" s="2" t="s">
        <v>882</v>
      </c>
      <c r="F256" s="2" t="s">
        <v>882</v>
      </c>
      <c r="G256" s="2" t="s">
        <v>886</v>
      </c>
      <c r="H256" s="2" t="s">
        <v>886</v>
      </c>
      <c r="I256" s="2"/>
    </row>
    <row r="257" spans="1:9">
      <c r="A257" s="2" t="s">
        <v>809</v>
      </c>
      <c r="B257" s="2"/>
      <c r="C257" s="2"/>
      <c r="D257" s="2"/>
      <c r="E257" s="2"/>
      <c r="F257" s="2"/>
      <c r="G257" s="2"/>
      <c r="H257" s="2"/>
      <c r="I257" s="2"/>
    </row>
    <row r="258" spans="1:9">
      <c r="A258" s="2" t="s">
        <v>810</v>
      </c>
      <c r="B258" s="2"/>
      <c r="C258" s="2"/>
      <c r="D258" s="2"/>
      <c r="E258" s="2"/>
      <c r="F258" s="2"/>
      <c r="G258" s="2"/>
      <c r="H258" s="2"/>
      <c r="I258" s="2"/>
    </row>
    <row r="260" spans="1:9">
      <c r="A260" s="4"/>
      <c r="B260" s="4"/>
      <c r="C260" s="4"/>
      <c r="D260" s="4"/>
      <c r="E260" s="4"/>
      <c r="F260" s="4"/>
      <c r="G260" s="4"/>
      <c r="H260" s="4"/>
      <c r="I260" s="4"/>
    </row>
    <row r="261" spans="1:9">
      <c r="A261" s="4"/>
      <c r="B261" s="4"/>
      <c r="C261" s="4"/>
      <c r="D261" s="4"/>
      <c r="E261" s="4"/>
      <c r="F261" s="4"/>
      <c r="G261" s="4"/>
      <c r="H261" s="4"/>
      <c r="I261" s="4"/>
    </row>
    <row r="262" spans="1:9">
      <c r="A262" s="1"/>
      <c r="B262" t="s">
        <v>942</v>
      </c>
      <c r="H262" t="s">
        <v>804</v>
      </c>
    </row>
    <row r="263" spans="1:9">
      <c r="A263" s="2" t="s">
        <v>805</v>
      </c>
      <c r="B263" s="2" t="s">
        <v>811</v>
      </c>
      <c r="C263" s="2" t="s">
        <v>813</v>
      </c>
      <c r="D263" s="2" t="s">
        <v>816</v>
      </c>
      <c r="E263" s="2" t="s">
        <v>819</v>
      </c>
      <c r="F263" s="2" t="s">
        <v>821</v>
      </c>
      <c r="G263" s="2" t="s">
        <v>824</v>
      </c>
      <c r="H263" s="2" t="s">
        <v>827</v>
      </c>
      <c r="I263" s="2"/>
    </row>
    <row r="264" spans="1:9">
      <c r="A264" s="2" t="s">
        <v>806</v>
      </c>
      <c r="B264" s="2">
        <v>3115</v>
      </c>
      <c r="C264" s="2">
        <v>3116</v>
      </c>
      <c r="D264" s="2">
        <v>3126</v>
      </c>
      <c r="E264" s="2">
        <v>3132</v>
      </c>
      <c r="F264" s="2">
        <v>3134</v>
      </c>
      <c r="G264" s="2">
        <v>3216</v>
      </c>
      <c r="H264" s="2">
        <v>3223</v>
      </c>
      <c r="I264" s="2"/>
    </row>
    <row r="265" spans="1:9">
      <c r="A265" s="2" t="s">
        <v>807</v>
      </c>
      <c r="B265" s="2" t="s">
        <v>708</v>
      </c>
      <c r="C265" s="2" t="s">
        <v>709</v>
      </c>
      <c r="D265" s="2" t="s">
        <v>716</v>
      </c>
      <c r="E265" s="2" t="s">
        <v>721</v>
      </c>
      <c r="F265" s="2" t="s">
        <v>723</v>
      </c>
      <c r="G265" s="2" t="s">
        <v>71</v>
      </c>
      <c r="H265" s="2" t="s">
        <v>72</v>
      </c>
      <c r="I265" s="2"/>
    </row>
    <row r="266" spans="1:9">
      <c r="A266" s="2" t="s">
        <v>808</v>
      </c>
      <c r="B266" s="2" t="s">
        <v>882</v>
      </c>
      <c r="C266" s="2" t="s">
        <v>882</v>
      </c>
      <c r="D266" s="2" t="s">
        <v>882</v>
      </c>
      <c r="E266" s="2" t="s">
        <v>882</v>
      </c>
      <c r="F266" s="2" t="s">
        <v>882</v>
      </c>
      <c r="G266" s="2" t="s">
        <v>886</v>
      </c>
      <c r="H266" s="2" t="s">
        <v>886</v>
      </c>
      <c r="I266" s="2"/>
    </row>
    <row r="267" spans="1:9">
      <c r="A267" s="2" t="s">
        <v>809</v>
      </c>
      <c r="B267" s="2"/>
      <c r="C267" s="2"/>
      <c r="D267" s="2"/>
      <c r="E267" s="2"/>
      <c r="F267" s="2"/>
      <c r="G267" s="2"/>
      <c r="H267" s="2"/>
      <c r="I267" s="2"/>
    </row>
    <row r="268" spans="1:9">
      <c r="A268" s="2" t="s">
        <v>810</v>
      </c>
      <c r="B268" s="2"/>
      <c r="C268" s="2"/>
      <c r="D268" s="2"/>
      <c r="E268" s="2"/>
      <c r="F268" s="2"/>
      <c r="G268" s="2"/>
      <c r="H268" s="2"/>
      <c r="I268" s="2"/>
    </row>
    <row r="269" spans="1:9">
      <c r="A269" s="3"/>
      <c r="B269" s="3"/>
      <c r="C269" s="3"/>
      <c r="D269" s="3"/>
      <c r="E269" s="3"/>
      <c r="F269" s="3"/>
      <c r="G269" s="3"/>
      <c r="H269" s="3"/>
      <c r="I269" s="3"/>
    </row>
    <row r="271" spans="1:9">
      <c r="A271" s="4"/>
      <c r="B271" s="4"/>
      <c r="C271" s="4"/>
      <c r="D271" s="4"/>
      <c r="E271" s="4"/>
      <c r="F271" s="4"/>
      <c r="G271" s="4"/>
      <c r="H271" s="4"/>
      <c r="I271" s="4"/>
    </row>
    <row r="272" spans="1:9">
      <c r="A272" s="1"/>
      <c r="B272" t="s">
        <v>960</v>
      </c>
      <c r="H272" t="s">
        <v>804</v>
      </c>
    </row>
    <row r="273" spans="1:9">
      <c r="A273" s="2" t="s">
        <v>805</v>
      </c>
      <c r="B273" s="2" t="s">
        <v>811</v>
      </c>
      <c r="C273" s="2" t="s">
        <v>813</v>
      </c>
      <c r="D273" s="2" t="s">
        <v>816</v>
      </c>
      <c r="E273" s="2" t="s">
        <v>819</v>
      </c>
      <c r="F273" s="2" t="s">
        <v>821</v>
      </c>
      <c r="G273" s="2" t="s">
        <v>824</v>
      </c>
      <c r="H273" s="2" t="s">
        <v>858</v>
      </c>
      <c r="I273" s="2" t="s">
        <v>860</v>
      </c>
    </row>
    <row r="274" spans="1:9">
      <c r="A274" s="2" t="s">
        <v>806</v>
      </c>
      <c r="B274" s="2">
        <v>3113</v>
      </c>
      <c r="C274" s="2">
        <v>3121</v>
      </c>
      <c r="D274" s="2">
        <v>3125</v>
      </c>
      <c r="E274" s="2">
        <v>3135</v>
      </c>
      <c r="F274" s="2">
        <v>3211</v>
      </c>
      <c r="G274" s="2">
        <v>3215</v>
      </c>
      <c r="H274" s="2">
        <v>3222</v>
      </c>
      <c r="I274" s="2">
        <v>3223</v>
      </c>
    </row>
    <row r="275" spans="1:9">
      <c r="A275" s="2" t="s">
        <v>807</v>
      </c>
      <c r="B275" s="2" t="s">
        <v>707</v>
      </c>
      <c r="C275" s="2" t="s">
        <v>713</v>
      </c>
      <c r="D275" s="2" t="s">
        <v>715</v>
      </c>
      <c r="E275" s="2" t="s">
        <v>724</v>
      </c>
      <c r="F275" s="2" t="s">
        <v>96</v>
      </c>
      <c r="G275" s="2" t="s">
        <v>97</v>
      </c>
      <c r="H275" s="2" t="s">
        <v>98</v>
      </c>
      <c r="I275" s="2" t="s">
        <v>72</v>
      </c>
    </row>
    <row r="276" spans="1:9">
      <c r="A276" s="2" t="s">
        <v>808</v>
      </c>
      <c r="B276" s="2" t="s">
        <v>882</v>
      </c>
      <c r="C276" s="2" t="s">
        <v>882</v>
      </c>
      <c r="D276" s="2" t="s">
        <v>882</v>
      </c>
      <c r="E276" s="2" t="s">
        <v>882</v>
      </c>
      <c r="F276" s="2" t="s">
        <v>886</v>
      </c>
      <c r="G276" s="2" t="s">
        <v>886</v>
      </c>
      <c r="H276" s="2" t="s">
        <v>886</v>
      </c>
      <c r="I276" s="2" t="s">
        <v>886</v>
      </c>
    </row>
    <row r="277" spans="1:9">
      <c r="A277" s="2" t="s">
        <v>809</v>
      </c>
      <c r="B277" s="2"/>
      <c r="C277" s="2"/>
      <c r="D277" s="2"/>
      <c r="E277" s="2"/>
      <c r="F277" s="2"/>
      <c r="G277" s="2"/>
      <c r="H277" s="2"/>
      <c r="I277" s="2"/>
    </row>
    <row r="278" spans="1:9">
      <c r="A278" s="2" t="s">
        <v>810</v>
      </c>
      <c r="B278" s="2"/>
      <c r="C278" s="2"/>
      <c r="D278" s="2"/>
      <c r="E278" s="2"/>
      <c r="F278" s="2"/>
      <c r="G278" s="2"/>
      <c r="H278" s="2"/>
      <c r="I278" s="2"/>
    </row>
    <row r="279" spans="1:9">
      <c r="A279" s="3"/>
      <c r="B279" s="3"/>
      <c r="C279" s="3"/>
      <c r="D279" s="3"/>
      <c r="E279" s="3"/>
      <c r="F279" s="3"/>
      <c r="G279" s="3"/>
      <c r="H279" s="3"/>
      <c r="I279" s="3"/>
    </row>
    <row r="281" spans="1:9">
      <c r="A281" s="4"/>
      <c r="B281" s="4"/>
      <c r="C281" s="4"/>
      <c r="D281" s="4"/>
      <c r="E281" s="4"/>
      <c r="F281" s="4"/>
      <c r="G281" s="4"/>
      <c r="H281" s="4"/>
      <c r="I281" s="4"/>
    </row>
    <row r="282" spans="1:9">
      <c r="A282" s="1"/>
      <c r="B282" t="s">
        <v>962</v>
      </c>
      <c r="H282" t="s">
        <v>804</v>
      </c>
    </row>
    <row r="283" spans="1:9">
      <c r="A283" s="2" t="s">
        <v>805</v>
      </c>
      <c r="B283" s="2" t="s">
        <v>811</v>
      </c>
      <c r="C283" s="2" t="s">
        <v>813</v>
      </c>
      <c r="D283" s="2" t="s">
        <v>816</v>
      </c>
      <c r="E283" s="2" t="s">
        <v>819</v>
      </c>
      <c r="F283" s="2" t="s">
        <v>821</v>
      </c>
      <c r="G283" s="2" t="s">
        <v>824</v>
      </c>
      <c r="H283" s="2" t="s">
        <v>395</v>
      </c>
      <c r="I283" s="2" t="s">
        <v>396</v>
      </c>
    </row>
    <row r="284" spans="1:9">
      <c r="A284" s="2" t="s">
        <v>806</v>
      </c>
      <c r="B284" s="2">
        <v>3117</v>
      </c>
      <c r="C284" s="2">
        <v>3129</v>
      </c>
      <c r="D284" s="2" t="s">
        <v>503</v>
      </c>
      <c r="E284" s="2">
        <v>3138</v>
      </c>
      <c r="F284" s="2">
        <v>3219</v>
      </c>
      <c r="G284" s="2" t="s">
        <v>683</v>
      </c>
      <c r="H284" s="2" t="s">
        <v>685</v>
      </c>
      <c r="I284" s="2" t="s">
        <v>519</v>
      </c>
    </row>
    <row r="285" spans="1:9">
      <c r="A285" s="2" t="s">
        <v>807</v>
      </c>
      <c r="B285" s="2" t="s">
        <v>710</v>
      </c>
      <c r="C285" s="2" t="s">
        <v>719</v>
      </c>
      <c r="D285" s="2" t="s">
        <v>720</v>
      </c>
      <c r="E285" s="2" t="s">
        <v>726</v>
      </c>
      <c r="F285" s="2" t="s">
        <v>67</v>
      </c>
      <c r="G285" s="2" t="s">
        <v>689</v>
      </c>
      <c r="H285" s="2" t="s">
        <v>686</v>
      </c>
      <c r="I285" s="2" t="s">
        <v>647</v>
      </c>
    </row>
    <row r="286" spans="1:9">
      <c r="A286" s="2" t="s">
        <v>808</v>
      </c>
      <c r="B286" s="2" t="s">
        <v>882</v>
      </c>
      <c r="C286" s="2" t="s">
        <v>882</v>
      </c>
      <c r="D286" s="2" t="s">
        <v>882</v>
      </c>
      <c r="E286" s="2" t="s">
        <v>882</v>
      </c>
      <c r="F286" s="2" t="s">
        <v>886</v>
      </c>
      <c r="G286" s="2" t="s">
        <v>886</v>
      </c>
      <c r="H286" s="2" t="s">
        <v>392</v>
      </c>
      <c r="I286" s="2" t="s">
        <v>392</v>
      </c>
    </row>
    <row r="287" spans="1:9">
      <c r="A287" s="2" t="s">
        <v>809</v>
      </c>
      <c r="B287" s="2"/>
      <c r="C287" s="2"/>
      <c r="D287" s="2"/>
      <c r="E287" s="2"/>
      <c r="F287" s="2"/>
      <c r="G287" s="2"/>
      <c r="H287" s="2"/>
      <c r="I287" s="2"/>
    </row>
    <row r="288" spans="1:9">
      <c r="A288" s="2" t="s">
        <v>810</v>
      </c>
      <c r="B288" s="2"/>
      <c r="C288" s="2"/>
      <c r="D288" s="2"/>
      <c r="E288" s="2"/>
      <c r="F288" s="2"/>
      <c r="G288" s="2"/>
      <c r="H288" s="2"/>
      <c r="I288" s="2"/>
    </row>
    <row r="290" spans="1:9">
      <c r="A290" s="4"/>
      <c r="B290" s="4"/>
      <c r="C290" s="4"/>
      <c r="D290" s="4"/>
      <c r="E290" s="4"/>
      <c r="F290" s="4"/>
      <c r="G290" s="4"/>
      <c r="H290" s="4"/>
      <c r="I290" s="4"/>
    </row>
    <row r="291" spans="1:9">
      <c r="A291" s="4"/>
      <c r="B291" s="4"/>
      <c r="C291" s="4"/>
      <c r="D291" s="4"/>
      <c r="E291" s="4"/>
      <c r="F291" s="4"/>
      <c r="G291" s="4"/>
      <c r="H291" s="4"/>
      <c r="I291" s="4"/>
    </row>
    <row r="292" spans="1:9">
      <c r="A292" s="1"/>
      <c r="B292" t="s">
        <v>259</v>
      </c>
      <c r="H292" t="s">
        <v>260</v>
      </c>
    </row>
    <row r="293" spans="1:9">
      <c r="A293" s="2" t="s">
        <v>261</v>
      </c>
      <c r="B293" s="2" t="s">
        <v>267</v>
      </c>
      <c r="C293" s="2" t="s">
        <v>270</v>
      </c>
      <c r="D293" s="2" t="s">
        <v>272</v>
      </c>
      <c r="E293" s="2" t="s">
        <v>274</v>
      </c>
      <c r="F293" s="2" t="s">
        <v>276</v>
      </c>
      <c r="G293" s="2" t="s">
        <v>279</v>
      </c>
      <c r="H293" s="2" t="s">
        <v>281</v>
      </c>
      <c r="I293" s="2"/>
    </row>
    <row r="294" spans="1:9">
      <c r="A294" s="2" t="s">
        <v>262</v>
      </c>
      <c r="B294" s="2">
        <v>3111</v>
      </c>
      <c r="C294" s="2">
        <v>3123</v>
      </c>
      <c r="D294" s="2">
        <v>3124</v>
      </c>
      <c r="E294" s="2">
        <v>3132</v>
      </c>
      <c r="F294" s="2">
        <v>3215</v>
      </c>
      <c r="G294" s="2">
        <v>3224</v>
      </c>
      <c r="H294" s="2">
        <v>3223</v>
      </c>
      <c r="I294" s="2"/>
    </row>
    <row r="295" spans="1:9">
      <c r="A295" s="2" t="s">
        <v>263</v>
      </c>
      <c r="B295" s="2" t="s">
        <v>268</v>
      </c>
      <c r="C295" s="2" t="s">
        <v>271</v>
      </c>
      <c r="D295" s="2" t="s">
        <v>273</v>
      </c>
      <c r="E295" s="2" t="s">
        <v>275</v>
      </c>
      <c r="F295" s="2" t="s">
        <v>277</v>
      </c>
      <c r="G295" s="2" t="s">
        <v>280</v>
      </c>
      <c r="H295" s="2" t="s">
        <v>282</v>
      </c>
      <c r="I295" s="2"/>
    </row>
    <row r="296" spans="1:9">
      <c r="A296" s="2" t="s">
        <v>264</v>
      </c>
      <c r="B296" s="2" t="s">
        <v>269</v>
      </c>
      <c r="C296" s="2" t="s">
        <v>269</v>
      </c>
      <c r="D296" s="2" t="s">
        <v>269</v>
      </c>
      <c r="E296" s="2" t="s">
        <v>269</v>
      </c>
      <c r="F296" s="2" t="s">
        <v>278</v>
      </c>
      <c r="G296" s="2" t="s">
        <v>278</v>
      </c>
      <c r="H296" s="2" t="s">
        <v>278</v>
      </c>
      <c r="I296" s="2"/>
    </row>
    <row r="297" spans="1:9">
      <c r="A297" s="2" t="s">
        <v>265</v>
      </c>
      <c r="B297" s="2"/>
      <c r="C297" s="2"/>
      <c r="D297" s="2"/>
      <c r="E297" s="2"/>
      <c r="F297" s="2"/>
      <c r="G297" s="2"/>
      <c r="H297" s="2"/>
      <c r="I297" s="2"/>
    </row>
    <row r="298" spans="1:9">
      <c r="A298" s="2" t="s">
        <v>266</v>
      </c>
      <c r="B298" s="2"/>
      <c r="C298" s="2"/>
      <c r="D298" s="2"/>
      <c r="E298" s="2"/>
      <c r="F298" s="2"/>
      <c r="G298" s="2"/>
      <c r="H298" s="2"/>
      <c r="I298" s="2"/>
    </row>
    <row r="299" spans="1:9">
      <c r="A299" s="3"/>
      <c r="B299" s="3"/>
      <c r="C299" s="3"/>
      <c r="D299" s="3"/>
      <c r="E299" s="3"/>
      <c r="F299" s="3"/>
      <c r="G299" s="3"/>
      <c r="H299" s="3"/>
      <c r="I299" s="3"/>
    </row>
    <row r="301" spans="1:9">
      <c r="A301" s="4"/>
      <c r="B301" s="4"/>
      <c r="C301" s="4"/>
      <c r="D301" s="4"/>
      <c r="E301" s="4"/>
      <c r="F301" s="4"/>
      <c r="G301" s="4"/>
      <c r="H301" s="4"/>
      <c r="I301" s="4"/>
    </row>
    <row r="302" spans="1:9">
      <c r="A302" s="1"/>
      <c r="B302" t="s">
        <v>283</v>
      </c>
      <c r="H302" t="s">
        <v>260</v>
      </c>
    </row>
    <row r="303" spans="1:9">
      <c r="A303" s="2" t="s">
        <v>261</v>
      </c>
      <c r="B303" s="2" t="s">
        <v>267</v>
      </c>
      <c r="C303" s="2" t="s">
        <v>270</v>
      </c>
      <c r="D303" s="2" t="s">
        <v>272</v>
      </c>
      <c r="E303" s="2" t="s">
        <v>274</v>
      </c>
      <c r="F303" s="2" t="s">
        <v>276</v>
      </c>
      <c r="G303" s="2" t="s">
        <v>279</v>
      </c>
      <c r="H303" s="2" t="s">
        <v>292</v>
      </c>
      <c r="I303" s="2" t="s">
        <v>294</v>
      </c>
    </row>
    <row r="304" spans="1:9">
      <c r="A304" s="2" t="s">
        <v>262</v>
      </c>
      <c r="B304" s="2">
        <v>3117</v>
      </c>
      <c r="C304" s="2" t="s">
        <v>285</v>
      </c>
      <c r="D304" s="2">
        <v>3129</v>
      </c>
      <c r="E304" s="2" t="s">
        <v>288</v>
      </c>
      <c r="F304" s="2">
        <v>3138</v>
      </c>
      <c r="G304" s="2">
        <v>3217</v>
      </c>
      <c r="H304" s="2">
        <v>3227</v>
      </c>
      <c r="I304" s="2" t="s">
        <v>295</v>
      </c>
    </row>
    <row r="305" spans="1:9">
      <c r="A305" s="2" t="s">
        <v>263</v>
      </c>
      <c r="B305" s="2" t="s">
        <v>284</v>
      </c>
      <c r="C305" s="2" t="s">
        <v>286</v>
      </c>
      <c r="D305" s="2" t="s">
        <v>287</v>
      </c>
      <c r="E305" s="2" t="s">
        <v>289</v>
      </c>
      <c r="F305" s="2" t="s">
        <v>290</v>
      </c>
      <c r="G305" s="2" t="s">
        <v>291</v>
      </c>
      <c r="H305" s="2" t="s">
        <v>293</v>
      </c>
      <c r="I305" s="2" t="s">
        <v>296</v>
      </c>
    </row>
    <row r="306" spans="1:9">
      <c r="A306" s="2" t="s">
        <v>264</v>
      </c>
      <c r="B306" s="2" t="s">
        <v>269</v>
      </c>
      <c r="C306" s="2" t="s">
        <v>269</v>
      </c>
      <c r="D306" s="2" t="s">
        <v>269</v>
      </c>
      <c r="E306" s="2" t="s">
        <v>269</v>
      </c>
      <c r="F306" s="2" t="s">
        <v>269</v>
      </c>
      <c r="G306" s="2" t="s">
        <v>278</v>
      </c>
      <c r="H306" s="2" t="s">
        <v>278</v>
      </c>
      <c r="I306" s="2" t="s">
        <v>278</v>
      </c>
    </row>
    <row r="307" spans="1:9">
      <c r="A307" s="2" t="s">
        <v>265</v>
      </c>
      <c r="B307" s="2"/>
      <c r="C307" s="2"/>
      <c r="D307" s="2"/>
      <c r="E307" s="2"/>
      <c r="F307" s="2"/>
      <c r="G307" s="2"/>
      <c r="H307" s="2"/>
      <c r="I307" s="2"/>
    </row>
    <row r="308" spans="1:9">
      <c r="A308" s="2" t="s">
        <v>266</v>
      </c>
      <c r="B308" s="2"/>
      <c r="C308" s="2"/>
      <c r="D308" s="2"/>
      <c r="E308" s="2"/>
      <c r="F308" s="2"/>
      <c r="G308" s="2"/>
      <c r="H308" s="2"/>
      <c r="I308" s="2"/>
    </row>
    <row r="309" spans="1:9">
      <c r="A309" s="3"/>
      <c r="B309" s="3"/>
      <c r="C309" s="3"/>
      <c r="D309" s="3"/>
      <c r="E309" s="3"/>
      <c r="F309" s="3"/>
      <c r="G309" s="3"/>
      <c r="H309" s="3"/>
      <c r="I309" s="3"/>
    </row>
    <row r="311" spans="1:9">
      <c r="A311" s="4"/>
      <c r="B311" s="4"/>
      <c r="C311" s="4"/>
      <c r="D311" s="4"/>
      <c r="E311" s="4"/>
      <c r="F311" s="4"/>
      <c r="G311" s="4"/>
      <c r="H311" s="4"/>
      <c r="I311" s="4"/>
    </row>
    <row r="312" spans="1:9">
      <c r="A312" s="1"/>
      <c r="B312" t="s">
        <v>562</v>
      </c>
      <c r="H312" t="s">
        <v>545</v>
      </c>
    </row>
    <row r="313" spans="1:9">
      <c r="A313" s="2" t="s">
        <v>531</v>
      </c>
      <c r="B313" s="2" t="s">
        <v>548</v>
      </c>
      <c r="C313" s="2" t="s">
        <v>550</v>
      </c>
      <c r="D313" s="2" t="s">
        <v>539</v>
      </c>
      <c r="E313" s="2" t="s">
        <v>541</v>
      </c>
      <c r="F313" s="2" t="s">
        <v>542</v>
      </c>
      <c r="G313" s="2" t="s">
        <v>543</v>
      </c>
      <c r="H313" s="2" t="s">
        <v>544</v>
      </c>
      <c r="I313" s="2"/>
    </row>
    <row r="314" spans="1:9">
      <c r="A314" s="2" t="s">
        <v>532</v>
      </c>
      <c r="B314" s="2" t="s">
        <v>393</v>
      </c>
      <c r="C314" s="2">
        <v>2429</v>
      </c>
      <c r="D314" s="2" t="s">
        <v>565</v>
      </c>
      <c r="E314" s="2" t="s">
        <v>394</v>
      </c>
      <c r="F314" s="2" t="s">
        <v>568</v>
      </c>
      <c r="G314" s="2" t="s">
        <v>570</v>
      </c>
      <c r="H314" s="2">
        <v>2316</v>
      </c>
      <c r="I314" s="2"/>
    </row>
    <row r="315" spans="1:9">
      <c r="A315" s="2" t="s">
        <v>533</v>
      </c>
      <c r="B315" s="2" t="s">
        <v>563</v>
      </c>
      <c r="C315" s="2" t="s">
        <v>564</v>
      </c>
      <c r="D315" s="2" t="s">
        <v>566</v>
      </c>
      <c r="E315" s="2" t="s">
        <v>567</v>
      </c>
      <c r="F315" s="2" t="s">
        <v>569</v>
      </c>
      <c r="G315" s="2" t="s">
        <v>571</v>
      </c>
      <c r="H315" s="2" t="s">
        <v>572</v>
      </c>
      <c r="I315" s="2"/>
    </row>
    <row r="316" spans="1:9">
      <c r="A316" s="2" t="s">
        <v>534</v>
      </c>
      <c r="B316" s="2" t="s">
        <v>540</v>
      </c>
      <c r="C316" s="2" t="s">
        <v>540</v>
      </c>
      <c r="D316" s="2" t="s">
        <v>540</v>
      </c>
      <c r="E316" s="2" t="s">
        <v>538</v>
      </c>
      <c r="F316" s="2" t="s">
        <v>538</v>
      </c>
      <c r="G316" s="2" t="s">
        <v>546</v>
      </c>
      <c r="H316" s="2" t="s">
        <v>547</v>
      </c>
      <c r="I316" s="2"/>
    </row>
    <row r="317" spans="1:9">
      <c r="A317" s="2" t="s">
        <v>535</v>
      </c>
      <c r="B317" s="2"/>
      <c r="C317" s="2"/>
      <c r="D317" s="2"/>
      <c r="E317" s="2"/>
      <c r="F317" s="2"/>
      <c r="G317" s="2"/>
      <c r="H317" s="2"/>
      <c r="I317" s="2"/>
    </row>
    <row r="318" spans="1:9">
      <c r="A318" s="2" t="s">
        <v>536</v>
      </c>
      <c r="B318" s="2"/>
      <c r="C318" s="2"/>
      <c r="D318" s="2"/>
      <c r="E318" s="2"/>
      <c r="F318" s="2"/>
      <c r="G318" s="2"/>
      <c r="H318" s="2"/>
      <c r="I318" s="2"/>
    </row>
    <row r="320" spans="1:9">
      <c r="A320" s="4"/>
      <c r="B320" s="4"/>
      <c r="C320" s="4"/>
      <c r="D320" s="4"/>
      <c r="E320" s="4"/>
      <c r="F320" s="4"/>
      <c r="G320" s="4"/>
      <c r="H320" s="4"/>
      <c r="I320" s="4"/>
    </row>
    <row r="321" spans="1:9">
      <c r="A321" s="4"/>
      <c r="B321" s="4"/>
      <c r="C321" s="4"/>
      <c r="D321" s="4"/>
      <c r="E321" s="4"/>
      <c r="F321" s="4"/>
      <c r="G321" s="4"/>
      <c r="H321" s="4"/>
      <c r="I321" s="4"/>
    </row>
    <row r="322" spans="1:9">
      <c r="A322" s="1"/>
      <c r="B322" t="s">
        <v>573</v>
      </c>
      <c r="H322" t="s">
        <v>530</v>
      </c>
    </row>
    <row r="323" spans="1:9">
      <c r="A323" s="2" t="s">
        <v>531</v>
      </c>
      <c r="B323" s="2" t="s">
        <v>548</v>
      </c>
      <c r="C323" s="2" t="s">
        <v>550</v>
      </c>
      <c r="D323" s="2" t="s">
        <v>539</v>
      </c>
      <c r="E323" s="2" t="s">
        <v>541</v>
      </c>
      <c r="F323" s="2" t="s">
        <v>542</v>
      </c>
      <c r="G323" s="2" t="s">
        <v>543</v>
      </c>
      <c r="H323" s="2" t="s">
        <v>575</v>
      </c>
      <c r="I323" s="2" t="s">
        <v>396</v>
      </c>
    </row>
    <row r="324" spans="1:9">
      <c r="A324" s="2" t="s">
        <v>532</v>
      </c>
      <c r="B324" s="2">
        <v>3118</v>
      </c>
      <c r="C324" s="2">
        <v>3119</v>
      </c>
      <c r="D324" s="2" t="s">
        <v>555</v>
      </c>
      <c r="E324" s="2">
        <v>3137</v>
      </c>
      <c r="F324" s="2" t="s">
        <v>558</v>
      </c>
      <c r="G324" s="2">
        <v>3219</v>
      </c>
      <c r="H324" s="2">
        <v>3228</v>
      </c>
      <c r="I324" s="2" t="s">
        <v>519</v>
      </c>
    </row>
    <row r="325" spans="1:9">
      <c r="A325" s="2" t="s">
        <v>533</v>
      </c>
      <c r="B325" s="2" t="s">
        <v>553</v>
      </c>
      <c r="C325" s="2" t="s">
        <v>554</v>
      </c>
      <c r="D325" s="2" t="s">
        <v>556</v>
      </c>
      <c r="E325" s="2" t="s">
        <v>557</v>
      </c>
      <c r="F325" s="2" t="s">
        <v>559</v>
      </c>
      <c r="G325" s="2" t="s">
        <v>574</v>
      </c>
      <c r="H325" s="2" t="s">
        <v>561</v>
      </c>
      <c r="I325" s="2" t="s">
        <v>518</v>
      </c>
    </row>
    <row r="326" spans="1:9">
      <c r="A326" s="2" t="s">
        <v>534</v>
      </c>
      <c r="B326" s="2" t="s">
        <v>546</v>
      </c>
      <c r="C326" s="2" t="s">
        <v>546</v>
      </c>
      <c r="D326" s="2" t="s">
        <v>546</v>
      </c>
      <c r="E326" s="2" t="s">
        <v>546</v>
      </c>
      <c r="F326" s="2" t="s">
        <v>546</v>
      </c>
      <c r="G326" s="2" t="s">
        <v>552</v>
      </c>
      <c r="H326" s="2" t="s">
        <v>552</v>
      </c>
      <c r="I326" s="2" t="s">
        <v>392</v>
      </c>
    </row>
    <row r="327" spans="1:9">
      <c r="A327" s="2" t="s">
        <v>535</v>
      </c>
      <c r="B327" s="2"/>
      <c r="C327" s="2"/>
      <c r="D327" s="2"/>
      <c r="E327" s="2"/>
      <c r="F327" s="2"/>
      <c r="G327" s="2"/>
      <c r="H327" s="2"/>
      <c r="I327" s="2"/>
    </row>
    <row r="328" spans="1:9">
      <c r="A328" s="2" t="s">
        <v>536</v>
      </c>
      <c r="B328" s="2"/>
      <c r="C328" s="2"/>
      <c r="D328" s="2"/>
      <c r="E328" s="2"/>
      <c r="F328" s="2"/>
      <c r="G328" s="2"/>
      <c r="H328" s="2"/>
      <c r="I328" s="2"/>
    </row>
    <row r="329" spans="1:9">
      <c r="A329" s="3"/>
      <c r="B329" s="3"/>
      <c r="C329" s="3"/>
      <c r="D329" s="3"/>
      <c r="E329" s="3"/>
      <c r="F329" s="3"/>
      <c r="G329" s="3"/>
      <c r="H329" s="3"/>
      <c r="I329" s="3"/>
    </row>
    <row r="331" spans="1:9">
      <c r="A331" s="4"/>
      <c r="B331" s="4"/>
      <c r="C331" s="4"/>
      <c r="D331" s="4"/>
      <c r="E331" s="4"/>
      <c r="F331" s="4"/>
      <c r="G331" s="4"/>
      <c r="H331" s="4"/>
      <c r="I331" s="4"/>
    </row>
    <row r="332" spans="1:9">
      <c r="A332" s="1"/>
      <c r="B332" t="s">
        <v>576</v>
      </c>
      <c r="H332" t="s">
        <v>530</v>
      </c>
    </row>
    <row r="333" spans="1:9">
      <c r="A333" s="2" t="s">
        <v>531</v>
      </c>
      <c r="B333" s="2" t="s">
        <v>537</v>
      </c>
      <c r="C333" s="2" t="s">
        <v>539</v>
      </c>
      <c r="D333" s="2" t="s">
        <v>541</v>
      </c>
      <c r="E333" s="2" t="s">
        <v>542</v>
      </c>
      <c r="F333" s="2" t="s">
        <v>543</v>
      </c>
      <c r="G333" s="2" t="s">
        <v>544</v>
      </c>
      <c r="H333" s="2" t="s">
        <v>395</v>
      </c>
      <c r="I333" s="2" t="s">
        <v>396</v>
      </c>
    </row>
    <row r="334" spans="1:9">
      <c r="A334" s="2" t="s">
        <v>532</v>
      </c>
      <c r="B334" s="2">
        <v>3115</v>
      </c>
      <c r="C334" s="2">
        <v>3122</v>
      </c>
      <c r="D334" s="2">
        <v>3133</v>
      </c>
      <c r="E334" s="2">
        <v>3134</v>
      </c>
      <c r="F334" s="2">
        <v>3211</v>
      </c>
      <c r="G334" s="2">
        <v>3226</v>
      </c>
      <c r="H334" s="2">
        <v>3228</v>
      </c>
      <c r="I334" s="2" t="s">
        <v>519</v>
      </c>
    </row>
    <row r="335" spans="1:9">
      <c r="A335" s="2" t="s">
        <v>533</v>
      </c>
      <c r="B335" s="2" t="s">
        <v>577</v>
      </c>
      <c r="C335" s="2" t="s">
        <v>578</v>
      </c>
      <c r="D335" s="2" t="s">
        <v>579</v>
      </c>
      <c r="E335" s="2" t="s">
        <v>580</v>
      </c>
      <c r="F335" s="2" t="s">
        <v>581</v>
      </c>
      <c r="G335" s="2" t="s">
        <v>582</v>
      </c>
      <c r="H335" s="2" t="s">
        <v>516</v>
      </c>
      <c r="I335" s="2" t="s">
        <v>518</v>
      </c>
    </row>
    <row r="336" spans="1:9">
      <c r="A336" s="2" t="s">
        <v>534</v>
      </c>
      <c r="B336" s="2" t="s">
        <v>546</v>
      </c>
      <c r="C336" s="2" t="s">
        <v>546</v>
      </c>
      <c r="D336" s="2" t="s">
        <v>546</v>
      </c>
      <c r="E336" s="2" t="s">
        <v>546</v>
      </c>
      <c r="F336" s="2" t="s">
        <v>552</v>
      </c>
      <c r="G336" s="2" t="s">
        <v>552</v>
      </c>
      <c r="H336" s="2" t="s">
        <v>392</v>
      </c>
      <c r="I336" s="2" t="s">
        <v>392</v>
      </c>
    </row>
    <row r="337" spans="1:9">
      <c r="A337" s="2" t="s">
        <v>535</v>
      </c>
      <c r="B337" s="2"/>
      <c r="C337" s="2"/>
      <c r="D337" s="2"/>
      <c r="E337" s="2"/>
      <c r="F337" s="2"/>
      <c r="G337" s="2"/>
      <c r="H337" s="2"/>
      <c r="I337" s="2"/>
    </row>
    <row r="338" spans="1:9">
      <c r="A338" s="2" t="s">
        <v>536</v>
      </c>
      <c r="B338" s="2"/>
      <c r="C338" s="2"/>
      <c r="D338" s="2"/>
      <c r="E338" s="2"/>
      <c r="F338" s="2"/>
      <c r="G338" s="2"/>
      <c r="H338" s="2"/>
      <c r="I338" s="2"/>
    </row>
    <row r="339" spans="1:9">
      <c r="A339" s="3"/>
      <c r="B339" s="3"/>
      <c r="C339" s="3"/>
      <c r="D339" s="3"/>
      <c r="E339" s="3"/>
      <c r="F339" s="3"/>
      <c r="G339" s="3"/>
      <c r="H339" s="3"/>
      <c r="I339" s="3"/>
    </row>
    <row r="341" spans="1:9">
      <c r="A341" s="4"/>
      <c r="B341" s="4"/>
      <c r="C341" s="4"/>
      <c r="D341" s="4"/>
      <c r="E341" s="4"/>
      <c r="F341" s="4"/>
      <c r="G341" s="4"/>
      <c r="H341" s="4"/>
      <c r="I341" s="4"/>
    </row>
    <row r="342" spans="1:9">
      <c r="A342" s="1"/>
      <c r="B342" t="s">
        <v>583</v>
      </c>
      <c r="H342" t="s">
        <v>530</v>
      </c>
    </row>
    <row r="343" spans="1:9">
      <c r="A343" s="2" t="s">
        <v>531</v>
      </c>
      <c r="B343" s="2" t="s">
        <v>537</v>
      </c>
      <c r="C343" s="2" t="s">
        <v>539</v>
      </c>
      <c r="D343" s="2" t="s">
        <v>541</v>
      </c>
      <c r="E343" s="2" t="s">
        <v>542</v>
      </c>
      <c r="F343" s="2" t="s">
        <v>543</v>
      </c>
      <c r="G343" s="2" t="s">
        <v>544</v>
      </c>
      <c r="H343" s="2"/>
      <c r="I343" s="2"/>
    </row>
    <row r="344" spans="1:9">
      <c r="A344" s="2" t="s">
        <v>532</v>
      </c>
      <c r="B344" s="2">
        <v>3111</v>
      </c>
      <c r="C344" s="2">
        <v>3123</v>
      </c>
      <c r="D344" s="2">
        <v>3124</v>
      </c>
      <c r="E344" s="2">
        <v>3132</v>
      </c>
      <c r="F344" s="2">
        <v>3215</v>
      </c>
      <c r="G344" s="2">
        <v>3224</v>
      </c>
      <c r="H344" s="2"/>
      <c r="I344" s="2"/>
    </row>
    <row r="345" spans="1:9">
      <c r="A345" s="2" t="s">
        <v>533</v>
      </c>
      <c r="B345" s="2" t="s">
        <v>549</v>
      </c>
      <c r="C345" s="2" t="s">
        <v>551</v>
      </c>
      <c r="D345" s="2" t="s">
        <v>584</v>
      </c>
      <c r="E345" s="2" t="s">
        <v>585</v>
      </c>
      <c r="F345" s="2" t="s">
        <v>586</v>
      </c>
      <c r="G345" s="2" t="s">
        <v>587</v>
      </c>
      <c r="H345" s="2"/>
      <c r="I345" s="2"/>
    </row>
    <row r="346" spans="1:9">
      <c r="A346" s="2" t="s">
        <v>534</v>
      </c>
      <c r="B346" s="2" t="s">
        <v>546</v>
      </c>
      <c r="C346" s="2" t="s">
        <v>546</v>
      </c>
      <c r="D346" s="2" t="s">
        <v>546</v>
      </c>
      <c r="E346" s="2" t="s">
        <v>546</v>
      </c>
      <c r="F346" s="2" t="s">
        <v>552</v>
      </c>
      <c r="G346" s="2" t="s">
        <v>552</v>
      </c>
      <c r="H346" s="2"/>
      <c r="I346" s="2"/>
    </row>
    <row r="347" spans="1:9">
      <c r="A347" s="2" t="s">
        <v>535</v>
      </c>
      <c r="B347" s="2"/>
      <c r="C347" s="2"/>
      <c r="D347" s="2"/>
      <c r="E347" s="2"/>
      <c r="F347" s="2"/>
      <c r="G347" s="2"/>
      <c r="H347" s="2"/>
      <c r="I347" s="2"/>
    </row>
    <row r="348" spans="1:9">
      <c r="A348" s="2" t="s">
        <v>536</v>
      </c>
      <c r="B348" s="2"/>
      <c r="C348" s="2"/>
      <c r="D348" s="2"/>
      <c r="E348" s="2"/>
      <c r="F348" s="2"/>
      <c r="G348" s="2"/>
      <c r="H348" s="2"/>
      <c r="I348" s="2"/>
    </row>
    <row r="350" spans="1:9">
      <c r="A350" s="4"/>
      <c r="B350" s="4"/>
      <c r="C350" s="4"/>
      <c r="D350" s="4"/>
      <c r="E350" s="4"/>
      <c r="F350" s="4"/>
      <c r="G350" s="4"/>
      <c r="H350" s="4"/>
      <c r="I350" s="4"/>
    </row>
    <row r="351" spans="1:9">
      <c r="A351" s="4"/>
      <c r="B351" s="4"/>
      <c r="C351" s="4"/>
      <c r="D351" s="4"/>
      <c r="E351" s="4"/>
      <c r="F351" s="4"/>
      <c r="G351" s="4"/>
      <c r="H351" s="4"/>
      <c r="I351" s="4"/>
    </row>
    <row r="352" spans="1:9">
      <c r="A352" s="1"/>
      <c r="B352" t="s">
        <v>247</v>
      </c>
      <c r="H352" t="s">
        <v>530</v>
      </c>
    </row>
    <row r="353" spans="1:9">
      <c r="A353" s="2" t="s">
        <v>531</v>
      </c>
      <c r="B353" s="2" t="s">
        <v>548</v>
      </c>
      <c r="C353" s="2" t="s">
        <v>550</v>
      </c>
      <c r="D353" s="2" t="s">
        <v>539</v>
      </c>
      <c r="E353" s="2" t="s">
        <v>541</v>
      </c>
      <c r="F353" s="2" t="s">
        <v>542</v>
      </c>
      <c r="G353" s="2" t="s">
        <v>543</v>
      </c>
      <c r="H353" s="2" t="s">
        <v>395</v>
      </c>
      <c r="I353" s="2" t="s">
        <v>396</v>
      </c>
    </row>
    <row r="354" spans="1:9">
      <c r="A354" s="2" t="s">
        <v>532</v>
      </c>
      <c r="B354" s="2">
        <v>3117</v>
      </c>
      <c r="C354" s="2" t="s">
        <v>500</v>
      </c>
      <c r="D354" s="2">
        <v>3129</v>
      </c>
      <c r="E354" s="2" t="s">
        <v>504</v>
      </c>
      <c r="F354" s="2">
        <v>3138</v>
      </c>
      <c r="G354" s="2">
        <v>3217</v>
      </c>
      <c r="H354" s="2">
        <v>3227</v>
      </c>
      <c r="I354" s="2" t="s">
        <v>397</v>
      </c>
    </row>
    <row r="355" spans="1:9">
      <c r="A355" s="2" t="s">
        <v>533</v>
      </c>
      <c r="B355" s="2" t="s">
        <v>248</v>
      </c>
      <c r="C355" s="2" t="s">
        <v>249</v>
      </c>
      <c r="D355" s="2" t="s">
        <v>250</v>
      </c>
      <c r="E355" s="2" t="s">
        <v>251</v>
      </c>
      <c r="F355" s="2" t="s">
        <v>252</v>
      </c>
      <c r="G355" s="2" t="s">
        <v>560</v>
      </c>
      <c r="H355" s="2" t="s">
        <v>515</v>
      </c>
      <c r="I355" s="2" t="s">
        <v>517</v>
      </c>
    </row>
    <row r="356" spans="1:9">
      <c r="A356" s="2" t="s">
        <v>534</v>
      </c>
      <c r="B356" s="2" t="s">
        <v>546</v>
      </c>
      <c r="C356" s="2" t="s">
        <v>546</v>
      </c>
      <c r="D356" s="2" t="s">
        <v>546</v>
      </c>
      <c r="E356" s="2" t="s">
        <v>546</v>
      </c>
      <c r="F356" s="2" t="s">
        <v>546</v>
      </c>
      <c r="G356" s="2" t="s">
        <v>552</v>
      </c>
      <c r="H356" s="2" t="s">
        <v>392</v>
      </c>
      <c r="I356" s="2" t="s">
        <v>392</v>
      </c>
    </row>
    <row r="357" spans="1:9">
      <c r="A357" s="2" t="s">
        <v>535</v>
      </c>
      <c r="B357" s="2"/>
      <c r="C357" s="2"/>
      <c r="D357" s="2"/>
      <c r="E357" s="2"/>
      <c r="F357" s="2"/>
      <c r="G357" s="2"/>
      <c r="H357" s="2"/>
      <c r="I357" s="2"/>
    </row>
    <row r="358" spans="1:9">
      <c r="A358" s="2" t="s">
        <v>536</v>
      </c>
      <c r="B358" s="2"/>
      <c r="C358" s="2"/>
      <c r="D358" s="2"/>
      <c r="E358" s="2"/>
      <c r="F358" s="2"/>
      <c r="G358" s="2"/>
      <c r="H358" s="2"/>
      <c r="I358" s="2"/>
    </row>
    <row r="359" spans="1:9">
      <c r="A359" s="3"/>
      <c r="B359" s="3"/>
      <c r="C359" s="3"/>
      <c r="D359" s="3"/>
      <c r="E359" s="3"/>
      <c r="F359" s="3"/>
      <c r="G359" s="3"/>
      <c r="H359" s="3"/>
      <c r="I359" s="3"/>
    </row>
    <row r="361" spans="1:9">
      <c r="A361" s="4"/>
      <c r="B361" s="4"/>
      <c r="C361" s="4"/>
      <c r="D361" s="4"/>
      <c r="E361" s="4"/>
      <c r="F361" s="4"/>
      <c r="G361" s="4"/>
      <c r="H361" s="4"/>
      <c r="I361" s="4"/>
    </row>
    <row r="362" spans="1:9">
      <c r="A362" s="1"/>
      <c r="B362" t="s">
        <v>353</v>
      </c>
      <c r="H362" t="s">
        <v>378</v>
      </c>
    </row>
    <row r="363" spans="1:9">
      <c r="A363" s="2" t="s">
        <v>379</v>
      </c>
      <c r="B363" s="2" t="s">
        <v>390</v>
      </c>
      <c r="C363" s="2" t="s">
        <v>391</v>
      </c>
      <c r="D363" s="2" t="s">
        <v>383</v>
      </c>
      <c r="E363" s="2" t="s">
        <v>384</v>
      </c>
      <c r="F363" s="2" t="s">
        <v>385</v>
      </c>
      <c r="G363" s="2" t="s">
        <v>386</v>
      </c>
      <c r="H363" s="2" t="s">
        <v>395</v>
      </c>
      <c r="I363" s="2" t="s">
        <v>396</v>
      </c>
    </row>
    <row r="364" spans="1:9">
      <c r="A364" s="2" t="s">
        <v>457</v>
      </c>
      <c r="B364" s="2">
        <v>3117</v>
      </c>
      <c r="C364" s="2" t="s">
        <v>500</v>
      </c>
      <c r="D364" s="2">
        <v>3129</v>
      </c>
      <c r="E364" s="2" t="s">
        <v>504</v>
      </c>
      <c r="F364" s="2">
        <v>3138</v>
      </c>
      <c r="G364" s="2">
        <v>3217</v>
      </c>
      <c r="H364" s="2">
        <v>3227</v>
      </c>
      <c r="I364" s="2" t="s">
        <v>397</v>
      </c>
    </row>
    <row r="365" spans="1:9">
      <c r="A365" s="2" t="s">
        <v>458</v>
      </c>
      <c r="B365" s="2" t="s">
        <v>509</v>
      </c>
      <c r="C365" s="2" t="s">
        <v>510</v>
      </c>
      <c r="D365" s="2" t="s">
        <v>511</v>
      </c>
      <c r="E365" s="2" t="s">
        <v>512</v>
      </c>
      <c r="F365" s="2" t="s">
        <v>513</v>
      </c>
      <c r="G365" s="2" t="s">
        <v>514</v>
      </c>
      <c r="H365" s="2" t="s">
        <v>515</v>
      </c>
      <c r="I365" s="2" t="s">
        <v>517</v>
      </c>
    </row>
    <row r="366" spans="1:9">
      <c r="A366" s="2" t="s">
        <v>380</v>
      </c>
      <c r="B366" s="2" t="s">
        <v>388</v>
      </c>
      <c r="C366" s="2" t="s">
        <v>388</v>
      </c>
      <c r="D366" s="2" t="s">
        <v>388</v>
      </c>
      <c r="E366" s="2" t="s">
        <v>388</v>
      </c>
      <c r="F366" s="2" t="s">
        <v>388</v>
      </c>
      <c r="G366" s="2" t="s">
        <v>392</v>
      </c>
      <c r="H366" s="2" t="s">
        <v>392</v>
      </c>
      <c r="I366" s="2" t="s">
        <v>392</v>
      </c>
    </row>
    <row r="367" spans="1:9">
      <c r="A367" s="2" t="s">
        <v>381</v>
      </c>
      <c r="B367" s="2"/>
      <c r="C367" s="2"/>
      <c r="D367" s="2"/>
      <c r="E367" s="2"/>
      <c r="F367" s="2"/>
      <c r="G367" s="2"/>
      <c r="H367" s="2"/>
      <c r="I367" s="2"/>
    </row>
    <row r="368" spans="1:9">
      <c r="A368" s="2" t="s">
        <v>382</v>
      </c>
      <c r="B368" s="2"/>
      <c r="C368" s="2"/>
      <c r="D368" s="2"/>
      <c r="E368" s="2"/>
      <c r="F368" s="2"/>
      <c r="G368" s="2"/>
      <c r="H368" s="2"/>
      <c r="I368" s="2"/>
    </row>
    <row r="369" spans="1:9">
      <c r="A369" s="3"/>
      <c r="B369" s="3"/>
      <c r="C369" s="3"/>
      <c r="D369" s="3"/>
      <c r="E369" s="3"/>
      <c r="F369" s="3"/>
      <c r="G369" s="3"/>
      <c r="H369" s="3"/>
      <c r="I369" s="3"/>
    </row>
    <row r="371" spans="1:9">
      <c r="A371" s="4"/>
      <c r="B371" s="4"/>
      <c r="C371" s="4"/>
      <c r="D371" s="4"/>
      <c r="E371" s="4"/>
      <c r="F371" s="4"/>
      <c r="G371" s="4"/>
      <c r="H371" s="4"/>
      <c r="I371" s="4"/>
    </row>
    <row r="372" spans="1:9">
      <c r="A372" s="1"/>
    </row>
    <row r="373" spans="1:9">
      <c r="A373" s="2"/>
      <c r="B373" s="2"/>
      <c r="C373" s="2"/>
      <c r="D373" s="2"/>
      <c r="E373" s="2"/>
      <c r="F373" s="2"/>
      <c r="G373" s="2"/>
      <c r="H373" s="2"/>
      <c r="I373" s="2"/>
    </row>
    <row r="374" spans="1:9">
      <c r="A374" s="2"/>
      <c r="B374" s="2"/>
      <c r="C374" s="2"/>
      <c r="D374" s="2"/>
      <c r="E374" s="2"/>
      <c r="F374" s="2"/>
      <c r="G374" s="2"/>
      <c r="H374" s="2"/>
      <c r="I374" s="2"/>
    </row>
    <row r="375" spans="1:9">
      <c r="A375" s="2"/>
      <c r="B375" s="2"/>
      <c r="C375" s="2"/>
      <c r="D375" s="2"/>
      <c r="E375" s="2"/>
      <c r="F375" s="2"/>
      <c r="G375" s="2"/>
      <c r="H375" s="2"/>
      <c r="I375" s="2"/>
    </row>
    <row r="376" spans="1:9">
      <c r="A376" s="2"/>
      <c r="B376" s="2"/>
      <c r="C376" s="2"/>
      <c r="D376" s="2"/>
      <c r="E376" s="2"/>
      <c r="F376" s="2"/>
      <c r="G376" s="2"/>
      <c r="H376" s="2"/>
      <c r="I376" s="2"/>
    </row>
    <row r="377" spans="1:9">
      <c r="A377" s="2"/>
      <c r="B377" s="2"/>
      <c r="C377" s="2"/>
      <c r="D377" s="2"/>
      <c r="E377" s="2"/>
      <c r="F377" s="2"/>
      <c r="G377" s="2"/>
      <c r="H377" s="2"/>
      <c r="I377" s="2"/>
    </row>
    <row r="378" spans="1:9">
      <c r="A378" s="2"/>
      <c r="B378" s="2"/>
      <c r="C378" s="2"/>
      <c r="D378" s="2"/>
      <c r="E378" s="2"/>
      <c r="F378" s="2"/>
      <c r="G378" s="2"/>
      <c r="H378" s="2"/>
      <c r="I378" s="2"/>
    </row>
    <row r="380" spans="1:9">
      <c r="A380" s="4"/>
      <c r="B380" s="4"/>
      <c r="C380" s="4"/>
      <c r="D380" s="4"/>
      <c r="E380" s="4"/>
      <c r="F380" s="4"/>
      <c r="G380" s="4"/>
      <c r="H380" s="4"/>
      <c r="I380" s="4"/>
    </row>
    <row r="381" spans="1:9">
      <c r="A381" s="4"/>
      <c r="B381" s="4"/>
      <c r="C381" s="4"/>
      <c r="D381" s="4"/>
      <c r="E381" s="4"/>
      <c r="F381" s="4"/>
      <c r="G381" s="4"/>
      <c r="H381" s="4"/>
      <c r="I381" s="4"/>
    </row>
    <row r="382" spans="1:9">
      <c r="A382" s="1"/>
    </row>
    <row r="383" spans="1:9">
      <c r="A383" s="2"/>
      <c r="B383" s="2"/>
      <c r="C383" s="2"/>
      <c r="D383" s="2"/>
      <c r="E383" s="2"/>
      <c r="F383" s="2"/>
      <c r="G383" s="2"/>
      <c r="H383" s="2"/>
      <c r="I383" s="2"/>
    </row>
    <row r="384" spans="1:9">
      <c r="A384" s="2"/>
      <c r="B384" s="2"/>
      <c r="C384" s="2"/>
      <c r="D384" s="2"/>
      <c r="E384" s="2"/>
      <c r="F384" s="2"/>
      <c r="G384" s="2"/>
      <c r="H384" s="2"/>
      <c r="I384" s="2"/>
    </row>
    <row r="385" spans="1:9">
      <c r="A385" s="2"/>
      <c r="B385" s="2"/>
      <c r="C385" s="2"/>
      <c r="D385" s="2"/>
      <c r="E385" s="2"/>
      <c r="F385" s="2"/>
      <c r="G385" s="2"/>
      <c r="H385" s="2"/>
      <c r="I385" s="2"/>
    </row>
    <row r="386" spans="1:9">
      <c r="A386" s="2"/>
      <c r="B386" s="2"/>
      <c r="C386" s="2"/>
      <c r="D386" s="2"/>
      <c r="E386" s="2"/>
      <c r="F386" s="2"/>
      <c r="G386" s="2"/>
      <c r="H386" s="2"/>
      <c r="I386" s="2"/>
    </row>
    <row r="387" spans="1:9">
      <c r="A387" s="2"/>
      <c r="B387" s="2"/>
      <c r="C387" s="2"/>
      <c r="D387" s="2"/>
      <c r="E387" s="2"/>
      <c r="F387" s="2"/>
      <c r="G387" s="2"/>
      <c r="H387" s="2"/>
      <c r="I387" s="2"/>
    </row>
    <row r="388" spans="1:9">
      <c r="A388" s="2"/>
      <c r="B388" s="2"/>
      <c r="C388" s="2"/>
      <c r="D388" s="2"/>
      <c r="E388" s="2"/>
      <c r="F388" s="2"/>
      <c r="G388" s="2"/>
      <c r="H388" s="2"/>
      <c r="I388" s="2"/>
    </row>
    <row r="389" spans="1:9">
      <c r="A389" s="3"/>
      <c r="B389" s="3"/>
      <c r="C389" s="3"/>
      <c r="D389" s="3"/>
      <c r="E389" s="3"/>
      <c r="F389" s="3"/>
      <c r="G389" s="3"/>
      <c r="H389" s="3"/>
      <c r="I389" s="3"/>
    </row>
    <row r="391" spans="1:9">
      <c r="A391" s="4"/>
      <c r="B391" s="4"/>
      <c r="C391" s="4"/>
      <c r="D391" s="4"/>
      <c r="E391" s="4"/>
      <c r="F391" s="4"/>
      <c r="G391" s="4"/>
      <c r="H391" s="4"/>
      <c r="I391" s="4"/>
    </row>
    <row r="392" spans="1:9">
      <c r="A392" s="1"/>
    </row>
    <row r="393" spans="1:9">
      <c r="A393" s="2"/>
      <c r="B393" s="2"/>
      <c r="C393" s="2"/>
      <c r="D393" s="2"/>
      <c r="E393" s="2"/>
      <c r="F393" s="2"/>
      <c r="G393" s="2"/>
      <c r="H393" s="2"/>
      <c r="I393" s="2"/>
    </row>
    <row r="394" spans="1:9">
      <c r="A394" s="2"/>
      <c r="B394" s="2"/>
      <c r="C394" s="2"/>
      <c r="D394" s="2"/>
      <c r="E394" s="2"/>
      <c r="F394" s="2"/>
      <c r="G394" s="2"/>
      <c r="H394" s="2"/>
      <c r="I394" s="2"/>
    </row>
    <row r="395" spans="1:9">
      <c r="A395" s="2"/>
      <c r="B395" s="2"/>
      <c r="C395" s="2"/>
      <c r="D395" s="2"/>
      <c r="E395" s="2"/>
      <c r="F395" s="2"/>
      <c r="G395" s="2"/>
      <c r="H395" s="2"/>
      <c r="I395" s="2"/>
    </row>
    <row r="396" spans="1:9">
      <c r="A396" s="2"/>
      <c r="B396" s="2"/>
      <c r="C396" s="2"/>
      <c r="D396" s="2"/>
      <c r="E396" s="2"/>
      <c r="F396" s="2"/>
      <c r="G396" s="2"/>
      <c r="H396" s="2"/>
      <c r="I396" s="2"/>
    </row>
    <row r="397" spans="1:9">
      <c r="A397" s="2"/>
      <c r="B397" s="2"/>
      <c r="C397" s="2"/>
      <c r="D397" s="2"/>
      <c r="E397" s="2"/>
      <c r="F397" s="2"/>
      <c r="G397" s="2"/>
      <c r="H397" s="2"/>
      <c r="I397" s="2"/>
    </row>
    <row r="398" spans="1:9">
      <c r="A398" s="2"/>
      <c r="B398" s="2"/>
      <c r="C398" s="2"/>
      <c r="D398" s="2"/>
      <c r="E398" s="2"/>
      <c r="F398" s="2"/>
      <c r="G398" s="2"/>
      <c r="H398" s="2"/>
      <c r="I398" s="2"/>
    </row>
    <row r="399" spans="1:9">
      <c r="A399" s="3"/>
      <c r="B399" s="3"/>
      <c r="C399" s="3"/>
      <c r="D399" s="3"/>
      <c r="E399" s="3"/>
      <c r="F399" s="3"/>
      <c r="G399" s="3"/>
      <c r="H399" s="3"/>
      <c r="I399" s="3"/>
    </row>
    <row r="401" spans="1:9">
      <c r="A401" s="4"/>
      <c r="B401" s="4"/>
      <c r="C401" s="4"/>
      <c r="D401" s="4"/>
      <c r="E401" s="4"/>
      <c r="F401" s="4"/>
      <c r="G401" s="4"/>
      <c r="H401" s="4"/>
      <c r="I401" s="4"/>
    </row>
    <row r="402" spans="1:9">
      <c r="A402" s="1"/>
    </row>
    <row r="403" spans="1:9">
      <c r="A403" s="2"/>
      <c r="B403" s="2"/>
      <c r="C403" s="2"/>
      <c r="D403" s="2"/>
      <c r="E403" s="2"/>
      <c r="F403" s="2"/>
      <c r="G403" s="2"/>
      <c r="H403" s="2"/>
      <c r="I403" s="2"/>
    </row>
    <row r="404" spans="1:9">
      <c r="A404" s="2"/>
      <c r="B404" s="2"/>
      <c r="C404" s="2"/>
      <c r="D404" s="2"/>
      <c r="E404" s="2"/>
      <c r="F404" s="2"/>
      <c r="G404" s="2"/>
      <c r="H404" s="2"/>
      <c r="I404" s="2"/>
    </row>
    <row r="405" spans="1:9">
      <c r="A405" s="2"/>
      <c r="B405" s="2"/>
      <c r="C405" s="2"/>
      <c r="D405" s="2"/>
      <c r="E405" s="2"/>
      <c r="F405" s="2"/>
      <c r="G405" s="2"/>
      <c r="H405" s="2"/>
      <c r="I405" s="2"/>
    </row>
    <row r="406" spans="1:9">
      <c r="A406" s="2"/>
      <c r="B406" s="2"/>
      <c r="C406" s="2"/>
      <c r="D406" s="2"/>
      <c r="E406" s="2"/>
      <c r="F406" s="2"/>
      <c r="G406" s="2"/>
      <c r="H406" s="2"/>
      <c r="I406" s="2"/>
    </row>
    <row r="407" spans="1:9">
      <c r="A407" s="2"/>
      <c r="B407" s="2"/>
      <c r="C407" s="2"/>
      <c r="D407" s="2"/>
      <c r="E407" s="2"/>
      <c r="F407" s="2"/>
      <c r="G407" s="2"/>
      <c r="H407" s="2"/>
      <c r="I407" s="2"/>
    </row>
    <row r="408" spans="1:9">
      <c r="A408" s="2"/>
      <c r="B408" s="2"/>
      <c r="C408" s="2"/>
      <c r="D408" s="2"/>
      <c r="E408" s="2"/>
      <c r="F408" s="2"/>
      <c r="G408" s="2"/>
      <c r="H408" s="2"/>
      <c r="I408" s="2"/>
    </row>
    <row r="410" spans="1:9">
      <c r="A410" s="4"/>
      <c r="B410" s="4"/>
      <c r="C410" s="4"/>
      <c r="D410" s="4"/>
      <c r="E410" s="4"/>
      <c r="F410" s="4"/>
      <c r="G410" s="4"/>
      <c r="H410" s="4"/>
      <c r="I410" s="4"/>
    </row>
    <row r="411" spans="1:9">
      <c r="A411" s="4"/>
      <c r="B411" s="4"/>
      <c r="C411" s="4"/>
      <c r="D411" s="4"/>
      <c r="E411" s="4"/>
      <c r="F411" s="4"/>
      <c r="G411" s="4"/>
      <c r="H411" s="4"/>
      <c r="I411" s="4"/>
    </row>
    <row r="412" spans="1:9">
      <c r="A412" s="1"/>
    </row>
    <row r="413" spans="1:9">
      <c r="A413" s="2"/>
      <c r="B413" s="2"/>
      <c r="C413" s="2"/>
      <c r="D413" s="2"/>
      <c r="E413" s="2"/>
      <c r="F413" s="2"/>
      <c r="G413" s="2"/>
      <c r="H413" s="2"/>
      <c r="I413" s="2"/>
    </row>
    <row r="414" spans="1:9">
      <c r="A414" s="2"/>
      <c r="B414" s="2"/>
      <c r="C414" s="2"/>
      <c r="D414" s="2"/>
      <c r="E414" s="2"/>
      <c r="F414" s="2"/>
      <c r="G414" s="2"/>
      <c r="H414" s="2"/>
      <c r="I414" s="2"/>
    </row>
    <row r="415" spans="1:9">
      <c r="A415" s="2"/>
      <c r="B415" s="2"/>
      <c r="C415" s="2"/>
      <c r="D415" s="2"/>
      <c r="E415" s="2"/>
      <c r="F415" s="2"/>
      <c r="G415" s="2"/>
      <c r="H415" s="2"/>
      <c r="I415" s="2"/>
    </row>
    <row r="416" spans="1:9">
      <c r="A416" s="2"/>
      <c r="B416" s="2"/>
      <c r="C416" s="2"/>
      <c r="D416" s="2"/>
      <c r="E416" s="2"/>
      <c r="F416" s="2"/>
      <c r="G416" s="2"/>
      <c r="H416" s="2"/>
      <c r="I416" s="2"/>
    </row>
    <row r="417" spans="1:9">
      <c r="A417" s="2"/>
      <c r="B417" s="2"/>
      <c r="C417" s="2"/>
      <c r="D417" s="2"/>
      <c r="E417" s="2"/>
      <c r="F417" s="2"/>
      <c r="G417" s="2"/>
      <c r="H417" s="2"/>
      <c r="I417" s="2"/>
    </row>
    <row r="418" spans="1:9">
      <c r="A418" s="2"/>
      <c r="B418" s="2"/>
      <c r="C418" s="2"/>
      <c r="D418" s="2"/>
      <c r="E418" s="2"/>
      <c r="F418" s="2"/>
      <c r="G418" s="2"/>
      <c r="H418" s="2"/>
      <c r="I418" s="2"/>
    </row>
    <row r="419" spans="1:9">
      <c r="A419" s="3"/>
      <c r="B419" s="3"/>
      <c r="C419" s="3"/>
      <c r="D419" s="3"/>
      <c r="E419" s="3"/>
      <c r="F419" s="3"/>
      <c r="G419" s="3"/>
      <c r="H419" s="3"/>
      <c r="I419" s="3"/>
    </row>
    <row r="421" spans="1:9">
      <c r="A421" s="4"/>
      <c r="B421" s="4"/>
      <c r="C421" s="4"/>
      <c r="D421" s="4"/>
      <c r="E421" s="4"/>
      <c r="F421" s="4"/>
      <c r="G421" s="4"/>
      <c r="H421" s="4"/>
      <c r="I421" s="4"/>
    </row>
    <row r="422" spans="1:9">
      <c r="A422" s="1"/>
    </row>
    <row r="423" spans="1:9">
      <c r="A423" s="2"/>
      <c r="B423" s="2"/>
      <c r="C423" s="2"/>
      <c r="D423" s="2"/>
      <c r="E423" s="2"/>
      <c r="F423" s="2"/>
      <c r="G423" s="2"/>
      <c r="H423" s="2"/>
      <c r="I423" s="2"/>
    </row>
    <row r="424" spans="1:9">
      <c r="A424" s="2"/>
      <c r="B424" s="2"/>
      <c r="C424" s="2"/>
      <c r="D424" s="2"/>
      <c r="E424" s="2"/>
      <c r="F424" s="2"/>
      <c r="G424" s="2"/>
      <c r="H424" s="2"/>
      <c r="I424" s="2"/>
    </row>
    <row r="425" spans="1:9">
      <c r="A425" s="2"/>
      <c r="B425" s="2"/>
      <c r="C425" s="2"/>
      <c r="D425" s="2"/>
      <c r="E425" s="2"/>
      <c r="F425" s="2"/>
      <c r="G425" s="2"/>
      <c r="H425" s="2"/>
      <c r="I425" s="2"/>
    </row>
    <row r="426" spans="1:9">
      <c r="A426" s="2"/>
      <c r="B426" s="2"/>
      <c r="C426" s="2"/>
      <c r="D426" s="2"/>
      <c r="E426" s="2"/>
      <c r="F426" s="2"/>
      <c r="G426" s="2"/>
      <c r="H426" s="2"/>
      <c r="I426" s="2"/>
    </row>
    <row r="427" spans="1:9">
      <c r="A427" s="2"/>
      <c r="B427" s="2"/>
      <c r="C427" s="2"/>
      <c r="D427" s="2"/>
      <c r="E427" s="2"/>
      <c r="F427" s="2"/>
      <c r="G427" s="2"/>
      <c r="H427" s="2"/>
      <c r="I427" s="2"/>
    </row>
    <row r="428" spans="1:9">
      <c r="A428" s="2"/>
      <c r="B428" s="2"/>
      <c r="C428" s="2"/>
      <c r="D428" s="2"/>
      <c r="E428" s="2"/>
      <c r="F428" s="2"/>
      <c r="G428" s="2"/>
      <c r="H428" s="2"/>
      <c r="I428" s="2"/>
    </row>
    <row r="429" spans="1:9">
      <c r="A429" s="3"/>
      <c r="B429" s="3"/>
      <c r="C429" s="3"/>
      <c r="D429" s="3"/>
      <c r="E429" s="3"/>
      <c r="F429" s="3"/>
      <c r="G429" s="3"/>
      <c r="H429" s="3"/>
      <c r="I429" s="3"/>
    </row>
    <row r="431" spans="1:9">
      <c r="A431" s="4"/>
      <c r="B431" s="4"/>
      <c r="C431" s="4"/>
      <c r="D431" s="4"/>
      <c r="E431" s="4"/>
      <c r="F431" s="4"/>
      <c r="G431" s="4"/>
      <c r="H431" s="4"/>
      <c r="I431" s="4"/>
    </row>
    <row r="432" spans="1:9">
      <c r="A432" s="1"/>
    </row>
    <row r="433" spans="1:9">
      <c r="A433" s="2"/>
      <c r="B433" s="2"/>
      <c r="C433" s="2"/>
      <c r="D433" s="2"/>
      <c r="E433" s="2"/>
      <c r="F433" s="2"/>
      <c r="G433" s="2"/>
      <c r="H433" s="2"/>
      <c r="I433" s="2"/>
    </row>
    <row r="434" spans="1:9">
      <c r="A434" s="2"/>
      <c r="B434" s="2"/>
      <c r="C434" s="2"/>
      <c r="D434" s="2"/>
      <c r="E434" s="2"/>
      <c r="F434" s="2"/>
      <c r="G434" s="2"/>
      <c r="H434" s="2"/>
      <c r="I434" s="2"/>
    </row>
    <row r="435" spans="1:9">
      <c r="A435" s="2"/>
      <c r="B435" s="2"/>
      <c r="C435" s="2"/>
      <c r="D435" s="2"/>
      <c r="E435" s="2"/>
      <c r="F435" s="2"/>
      <c r="G435" s="2"/>
      <c r="H435" s="2"/>
      <c r="I435" s="2"/>
    </row>
    <row r="436" spans="1:9">
      <c r="A436" s="2"/>
      <c r="B436" s="2"/>
      <c r="C436" s="2"/>
      <c r="D436" s="2"/>
      <c r="E436" s="2"/>
      <c r="F436" s="2"/>
      <c r="G436" s="2"/>
      <c r="H436" s="2"/>
      <c r="I436" s="2"/>
    </row>
    <row r="437" spans="1:9">
      <c r="A437" s="2"/>
      <c r="B437" s="2"/>
      <c r="C437" s="2"/>
      <c r="D437" s="2"/>
      <c r="E437" s="2"/>
      <c r="F437" s="2"/>
      <c r="G437" s="2"/>
      <c r="H437" s="2"/>
      <c r="I437" s="2"/>
    </row>
    <row r="438" spans="1:9">
      <c r="A438" s="2"/>
      <c r="B438" s="2"/>
      <c r="C438" s="2"/>
      <c r="D438" s="2"/>
      <c r="E438" s="2"/>
      <c r="F438" s="2"/>
      <c r="G438" s="2"/>
      <c r="H438" s="2"/>
      <c r="I438" s="2"/>
    </row>
    <row r="440" spans="1:9">
      <c r="A440" s="4"/>
      <c r="B440" s="4"/>
      <c r="C440" s="4"/>
      <c r="D440" s="4"/>
      <c r="E440" s="4"/>
      <c r="F440" s="4"/>
      <c r="G440" s="4"/>
      <c r="H440" s="4"/>
      <c r="I440" s="4"/>
    </row>
    <row r="441" spans="1:9">
      <c r="A441" s="4"/>
      <c r="B441" s="4"/>
      <c r="C441" s="4"/>
      <c r="D441" s="4"/>
      <c r="E441" s="4"/>
      <c r="F441" s="4"/>
      <c r="G441" s="4"/>
      <c r="H441" s="4"/>
      <c r="I441" s="4"/>
    </row>
    <row r="442" spans="1:9">
      <c r="A442" s="1"/>
    </row>
    <row r="443" spans="1:9">
      <c r="A443" s="2"/>
      <c r="B443" s="2"/>
      <c r="C443" s="2"/>
      <c r="D443" s="2"/>
      <c r="E443" s="2"/>
      <c r="F443" s="2"/>
      <c r="G443" s="2"/>
      <c r="H443" s="2"/>
      <c r="I443" s="2"/>
    </row>
    <row r="444" spans="1:9">
      <c r="A444" s="2"/>
      <c r="B444" s="2"/>
      <c r="C444" s="2"/>
      <c r="D444" s="2"/>
      <c r="E444" s="2"/>
      <c r="F444" s="2"/>
      <c r="G444" s="2"/>
      <c r="H444" s="2"/>
      <c r="I444" s="2"/>
    </row>
    <row r="445" spans="1:9">
      <c r="A445" s="2"/>
      <c r="B445" s="2"/>
      <c r="C445" s="2"/>
      <c r="D445" s="2"/>
      <c r="E445" s="2"/>
      <c r="F445" s="2"/>
      <c r="G445" s="2"/>
      <c r="H445" s="2"/>
      <c r="I445" s="2"/>
    </row>
    <row r="446" spans="1:9">
      <c r="A446" s="2"/>
      <c r="B446" s="2"/>
      <c r="C446" s="2"/>
      <c r="D446" s="2"/>
      <c r="E446" s="2"/>
      <c r="F446" s="2"/>
      <c r="G446" s="2"/>
      <c r="H446" s="2"/>
      <c r="I446" s="2"/>
    </row>
    <row r="447" spans="1:9">
      <c r="A447" s="2"/>
      <c r="B447" s="2"/>
      <c r="C447" s="2"/>
      <c r="D447" s="2"/>
      <c r="E447" s="2"/>
      <c r="F447" s="2"/>
      <c r="G447" s="2"/>
      <c r="H447" s="2"/>
      <c r="I447" s="2"/>
    </row>
    <row r="448" spans="1:9">
      <c r="A448" s="2"/>
      <c r="B448" s="2"/>
      <c r="C448" s="2"/>
      <c r="D448" s="2"/>
      <c r="E448" s="2"/>
      <c r="F448" s="2"/>
      <c r="G448" s="2"/>
      <c r="H448" s="2"/>
      <c r="I448" s="2"/>
    </row>
    <row r="449" spans="1:9">
      <c r="A449" s="3"/>
      <c r="B449" s="3"/>
      <c r="C449" s="3"/>
      <c r="D449" s="3"/>
      <c r="E449" s="3"/>
      <c r="F449" s="3"/>
      <c r="G449" s="3"/>
      <c r="H449" s="3"/>
      <c r="I449" s="3"/>
    </row>
    <row r="451" spans="1:9">
      <c r="A451" s="4"/>
      <c r="B451" s="4"/>
      <c r="C451" s="4"/>
      <c r="D451" s="4"/>
      <c r="E451" s="4"/>
      <c r="F451" s="4"/>
      <c r="G451" s="4"/>
      <c r="H451" s="4"/>
      <c r="I451" s="4"/>
    </row>
    <row r="452" spans="1:9">
      <c r="A452" s="1"/>
    </row>
    <row r="453" spans="1:9">
      <c r="A453" s="2"/>
      <c r="B453" s="2"/>
      <c r="C453" s="2"/>
      <c r="D453" s="2"/>
      <c r="E453" s="2"/>
      <c r="F453" s="2"/>
      <c r="G453" s="2"/>
      <c r="H453" s="2"/>
      <c r="I453" s="2"/>
    </row>
    <row r="454" spans="1:9">
      <c r="A454" s="2"/>
      <c r="B454" s="2"/>
      <c r="C454" s="2"/>
      <c r="D454" s="2"/>
      <c r="E454" s="2"/>
      <c r="F454" s="2"/>
      <c r="G454" s="2"/>
      <c r="H454" s="2"/>
      <c r="I454" s="2"/>
    </row>
    <row r="455" spans="1:9">
      <c r="A455" s="2"/>
      <c r="B455" s="2"/>
      <c r="C455" s="2"/>
      <c r="D455" s="2"/>
      <c r="E455" s="2"/>
      <c r="F455" s="2"/>
      <c r="G455" s="2"/>
      <c r="H455" s="2"/>
      <c r="I455" s="2"/>
    </row>
    <row r="456" spans="1:9">
      <c r="A456" s="2"/>
      <c r="B456" s="2"/>
      <c r="C456" s="2"/>
      <c r="D456" s="2"/>
      <c r="E456" s="2"/>
      <c r="F456" s="2"/>
      <c r="G456" s="2"/>
      <c r="H456" s="2"/>
      <c r="I456" s="2"/>
    </row>
    <row r="457" spans="1:9">
      <c r="A457" s="2"/>
      <c r="B457" s="2"/>
      <c r="C457" s="2"/>
      <c r="D457" s="2"/>
      <c r="E457" s="2"/>
      <c r="F457" s="2"/>
      <c r="G457" s="2"/>
      <c r="H457" s="2"/>
      <c r="I457" s="2"/>
    </row>
    <row r="458" spans="1:9">
      <c r="A458" s="2"/>
      <c r="B458" s="2"/>
      <c r="C458" s="2"/>
      <c r="D458" s="2"/>
      <c r="E458" s="2"/>
      <c r="F458" s="2"/>
      <c r="G458" s="2"/>
      <c r="H458" s="2"/>
      <c r="I458" s="2"/>
    </row>
    <row r="459" spans="1:9">
      <c r="A459" s="3"/>
      <c r="B459" s="3"/>
      <c r="C459" s="3"/>
      <c r="D459" s="3"/>
      <c r="E459" s="3"/>
      <c r="F459" s="3"/>
      <c r="G459" s="3"/>
      <c r="H459" s="3"/>
      <c r="I459" s="3"/>
    </row>
    <row r="461" spans="1:9">
      <c r="A461" s="4"/>
      <c r="B461" s="4"/>
      <c r="C461" s="4"/>
      <c r="D461" s="4"/>
      <c r="E461" s="4"/>
      <c r="F461" s="4"/>
      <c r="G461" s="4"/>
      <c r="H461" s="4"/>
      <c r="I461" s="4"/>
    </row>
    <row r="462" spans="1:9">
      <c r="A462" s="1"/>
    </row>
    <row r="463" spans="1:9">
      <c r="A463" s="2"/>
      <c r="B463" s="2"/>
      <c r="C463" s="2"/>
      <c r="D463" s="2"/>
      <c r="E463" s="2"/>
      <c r="F463" s="2"/>
      <c r="G463" s="2"/>
      <c r="H463" s="2"/>
      <c r="I463" s="2"/>
    </row>
    <row r="464" spans="1:9">
      <c r="A464" s="2"/>
      <c r="B464" s="2"/>
      <c r="C464" s="2"/>
      <c r="D464" s="2"/>
      <c r="E464" s="2"/>
      <c r="F464" s="2"/>
      <c r="G464" s="2"/>
      <c r="H464" s="2"/>
      <c r="I464" s="2"/>
    </row>
    <row r="465" spans="1:9">
      <c r="A465" s="2"/>
      <c r="B465" s="2"/>
      <c r="C465" s="2"/>
      <c r="D465" s="2"/>
      <c r="E465" s="2"/>
      <c r="F465" s="2"/>
      <c r="G465" s="2"/>
      <c r="H465" s="2"/>
      <c r="I465" s="2"/>
    </row>
    <row r="466" spans="1:9">
      <c r="A466" s="2"/>
      <c r="B466" s="2"/>
      <c r="C466" s="2"/>
      <c r="D466" s="2"/>
      <c r="E466" s="2"/>
      <c r="F466" s="2"/>
      <c r="G466" s="2"/>
      <c r="H466" s="2"/>
      <c r="I466" s="2"/>
    </row>
    <row r="467" spans="1:9">
      <c r="A467" s="2"/>
      <c r="B467" s="2"/>
      <c r="C467" s="2"/>
      <c r="D467" s="2"/>
      <c r="E467" s="2"/>
      <c r="F467" s="2"/>
      <c r="G467" s="2"/>
      <c r="H467" s="2"/>
      <c r="I467" s="2"/>
    </row>
    <row r="468" spans="1:9">
      <c r="A468" s="2"/>
      <c r="B468" s="2"/>
      <c r="C468" s="2"/>
      <c r="D468" s="2"/>
      <c r="E468" s="2"/>
      <c r="F468" s="2"/>
      <c r="G468" s="2"/>
      <c r="H468" s="2"/>
      <c r="I468" s="2"/>
    </row>
    <row r="470" spans="1:9">
      <c r="A470" s="4"/>
      <c r="B470" s="4"/>
      <c r="C470" s="4"/>
      <c r="D470" s="4"/>
      <c r="E470" s="4"/>
      <c r="F470" s="4"/>
      <c r="G470" s="4"/>
      <c r="H470" s="4"/>
      <c r="I470" s="4"/>
    </row>
    <row r="471" spans="1:9">
      <c r="A471" s="4"/>
      <c r="B471" s="4"/>
      <c r="C471" s="4"/>
      <c r="D471" s="4"/>
      <c r="E471" s="4"/>
      <c r="F471" s="4"/>
      <c r="G471" s="4"/>
      <c r="H471" s="4"/>
      <c r="I471" s="4"/>
    </row>
    <row r="472" spans="1:9">
      <c r="A472" s="1"/>
    </row>
    <row r="473" spans="1:9">
      <c r="A473" s="2"/>
      <c r="B473" s="2"/>
      <c r="C473" s="2"/>
      <c r="D473" s="2"/>
      <c r="E473" s="2"/>
      <c r="F473" s="2"/>
      <c r="G473" s="2"/>
      <c r="H473" s="2"/>
      <c r="I473" s="2"/>
    </row>
    <row r="474" spans="1:9">
      <c r="A474" s="2"/>
      <c r="B474" s="2"/>
      <c r="C474" s="2"/>
      <c r="D474" s="2"/>
      <c r="E474" s="2"/>
      <c r="F474" s="2"/>
      <c r="G474" s="2"/>
      <c r="H474" s="2"/>
      <c r="I474" s="2"/>
    </row>
    <row r="475" spans="1:9">
      <c r="A475" s="2"/>
      <c r="B475" s="2"/>
      <c r="C475" s="2"/>
      <c r="D475" s="2"/>
      <c r="E475" s="2"/>
      <c r="F475" s="2"/>
      <c r="G475" s="2"/>
      <c r="H475" s="2"/>
      <c r="I475" s="2"/>
    </row>
    <row r="476" spans="1:9">
      <c r="A476" s="2"/>
      <c r="B476" s="2"/>
      <c r="C476" s="2"/>
      <c r="D476" s="2"/>
      <c r="E476" s="2"/>
      <c r="F476" s="2"/>
      <c r="G476" s="2"/>
      <c r="H476" s="2"/>
      <c r="I476" s="2"/>
    </row>
    <row r="477" spans="1:9">
      <c r="A477" s="2"/>
      <c r="B477" s="2"/>
      <c r="C477" s="2"/>
      <c r="D477" s="2"/>
      <c r="E477" s="2"/>
      <c r="F477" s="2"/>
      <c r="G477" s="2"/>
      <c r="H477" s="2"/>
      <c r="I477" s="2"/>
    </row>
    <row r="478" spans="1:9">
      <c r="A478" s="2"/>
      <c r="B478" s="2"/>
      <c r="C478" s="2"/>
      <c r="D478" s="2"/>
      <c r="E478" s="2"/>
      <c r="F478" s="2"/>
      <c r="G478" s="2"/>
      <c r="H478" s="2"/>
      <c r="I478" s="2"/>
    </row>
    <row r="479" spans="1:9">
      <c r="A479" s="3"/>
      <c r="B479" s="3"/>
      <c r="C479" s="3"/>
      <c r="D479" s="3"/>
      <c r="E479" s="3"/>
      <c r="F479" s="3"/>
      <c r="G479" s="3"/>
      <c r="H479" s="3"/>
      <c r="I479" s="3"/>
    </row>
    <row r="481" spans="1:9">
      <c r="A481" s="4"/>
      <c r="B481" s="4"/>
      <c r="C481" s="4"/>
      <c r="D481" s="4"/>
      <c r="E481" s="4"/>
      <c r="F481" s="4"/>
      <c r="G481" s="4"/>
      <c r="H481" s="4"/>
      <c r="I481" s="4"/>
    </row>
    <row r="482" spans="1:9">
      <c r="A482" s="1"/>
    </row>
    <row r="483" spans="1:9">
      <c r="A483" s="2"/>
      <c r="B483" s="2"/>
      <c r="C483" s="2"/>
      <c r="D483" s="2"/>
      <c r="E483" s="2"/>
      <c r="F483" s="2"/>
      <c r="G483" s="2"/>
      <c r="H483" s="2"/>
      <c r="I483" s="2"/>
    </row>
    <row r="484" spans="1:9">
      <c r="A484" s="2"/>
      <c r="B484" s="2"/>
      <c r="C484" s="2"/>
      <c r="D484" s="2"/>
      <c r="E484" s="2"/>
      <c r="F484" s="2"/>
      <c r="G484" s="2"/>
      <c r="H484" s="2"/>
      <c r="I484" s="2"/>
    </row>
    <row r="485" spans="1:9">
      <c r="A485" s="2"/>
      <c r="B485" s="2"/>
      <c r="C485" s="2"/>
      <c r="D485" s="2"/>
      <c r="E485" s="2"/>
      <c r="F485" s="2"/>
      <c r="G485" s="2"/>
      <c r="H485" s="2"/>
      <c r="I485" s="2"/>
    </row>
    <row r="486" spans="1:9">
      <c r="A486" s="2"/>
      <c r="B486" s="2"/>
      <c r="C486" s="2"/>
      <c r="D486" s="2"/>
      <c r="E486" s="2"/>
      <c r="F486" s="2"/>
      <c r="G486" s="2"/>
      <c r="H486" s="2"/>
      <c r="I486" s="2"/>
    </row>
    <row r="487" spans="1:9">
      <c r="A487" s="2"/>
      <c r="B487" s="2"/>
      <c r="C487" s="2"/>
      <c r="D487" s="2"/>
      <c r="E487" s="2"/>
      <c r="F487" s="2"/>
      <c r="G487" s="2"/>
      <c r="H487" s="2"/>
      <c r="I487" s="2"/>
    </row>
    <row r="488" spans="1:9">
      <c r="A488" s="2"/>
      <c r="B488" s="2"/>
      <c r="C488" s="2"/>
      <c r="D488" s="2"/>
      <c r="E488" s="2"/>
      <c r="F488" s="2"/>
      <c r="G488" s="2"/>
      <c r="H488" s="2"/>
      <c r="I488" s="2"/>
    </row>
    <row r="489" spans="1:9">
      <c r="A489" s="3"/>
      <c r="B489" s="3"/>
      <c r="C489" s="3"/>
      <c r="D489" s="3"/>
      <c r="E489" s="3"/>
      <c r="F489" s="3"/>
      <c r="G489" s="3"/>
      <c r="H489" s="3"/>
      <c r="I489" s="3"/>
    </row>
    <row r="491" spans="1:9">
      <c r="A491" s="4"/>
      <c r="B491" s="4"/>
      <c r="C491" s="4"/>
      <c r="D491" s="4"/>
      <c r="E491" s="4"/>
      <c r="F491" s="4"/>
      <c r="G491" s="4"/>
      <c r="H491" s="4"/>
      <c r="I491" s="4"/>
    </row>
    <row r="492" spans="1:9">
      <c r="A492" s="1"/>
    </row>
    <row r="493" spans="1:9">
      <c r="A493" s="2"/>
      <c r="B493" s="2"/>
      <c r="C493" s="2"/>
      <c r="D493" s="2"/>
      <c r="E493" s="2"/>
      <c r="F493" s="2"/>
      <c r="G493" s="2"/>
      <c r="H493" s="2"/>
      <c r="I493" s="2"/>
    </row>
    <row r="494" spans="1:9">
      <c r="A494" s="2"/>
      <c r="B494" s="2"/>
      <c r="C494" s="2"/>
      <c r="D494" s="2"/>
      <c r="E494" s="2"/>
      <c r="F494" s="2"/>
      <c r="G494" s="2"/>
      <c r="H494" s="2"/>
      <c r="I494" s="2"/>
    </row>
    <row r="495" spans="1:9">
      <c r="A495" s="2"/>
      <c r="B495" s="2"/>
      <c r="C495" s="2"/>
      <c r="D495" s="2"/>
      <c r="E495" s="2"/>
      <c r="F495" s="2"/>
      <c r="G495" s="2"/>
      <c r="H495" s="2"/>
      <c r="I495" s="2"/>
    </row>
    <row r="496" spans="1:9">
      <c r="A496" s="2"/>
      <c r="B496" s="2"/>
      <c r="C496" s="2"/>
      <c r="D496" s="2"/>
      <c r="E496" s="2"/>
      <c r="F496" s="2"/>
      <c r="G496" s="2"/>
      <c r="H496" s="2"/>
      <c r="I496" s="2"/>
    </row>
    <row r="497" spans="1:9">
      <c r="A497" s="2"/>
      <c r="B497" s="2"/>
      <c r="C497" s="2"/>
      <c r="D497" s="2"/>
      <c r="E497" s="2"/>
      <c r="F497" s="2"/>
      <c r="G497" s="2"/>
      <c r="H497" s="2"/>
      <c r="I497" s="2"/>
    </row>
    <row r="498" spans="1:9">
      <c r="A498" s="2"/>
      <c r="B498" s="2"/>
      <c r="C498" s="2"/>
      <c r="D498" s="2"/>
      <c r="E498" s="2"/>
      <c r="F498" s="2"/>
      <c r="G498" s="2"/>
      <c r="H498" s="2"/>
      <c r="I498" s="2"/>
    </row>
    <row r="500" spans="1:9">
      <c r="A500" s="4"/>
      <c r="B500" s="4"/>
      <c r="C500" s="4"/>
      <c r="D500" s="4"/>
      <c r="E500" s="4"/>
      <c r="F500" s="4"/>
      <c r="G500" s="4"/>
      <c r="H500" s="4"/>
      <c r="I500" s="4"/>
    </row>
    <row r="501" spans="1:9">
      <c r="A501" s="4"/>
      <c r="B501" s="4"/>
      <c r="C501" s="4"/>
      <c r="D501" s="4"/>
      <c r="E501" s="4"/>
      <c r="F501" s="4"/>
      <c r="G501" s="4"/>
      <c r="H501" s="4"/>
      <c r="I501" s="4"/>
    </row>
    <row r="502" spans="1:9">
      <c r="A502" s="1"/>
    </row>
    <row r="503" spans="1:9">
      <c r="A503" s="2"/>
      <c r="B503" s="2"/>
      <c r="C503" s="2"/>
      <c r="D503" s="2"/>
      <c r="E503" s="2"/>
      <c r="F503" s="2"/>
      <c r="G503" s="2"/>
      <c r="H503" s="2"/>
      <c r="I503" s="2"/>
    </row>
    <row r="504" spans="1:9">
      <c r="A504" s="2"/>
      <c r="B504" s="2"/>
      <c r="C504" s="2"/>
      <c r="D504" s="2"/>
      <c r="E504" s="2"/>
      <c r="F504" s="2"/>
      <c r="G504" s="2"/>
      <c r="H504" s="2"/>
      <c r="I504" s="2"/>
    </row>
    <row r="505" spans="1:9">
      <c r="A505" s="2"/>
      <c r="B505" s="2"/>
      <c r="C505" s="2"/>
      <c r="D505" s="2"/>
      <c r="E505" s="2"/>
      <c r="F505" s="2"/>
      <c r="G505" s="2"/>
      <c r="H505" s="2"/>
      <c r="I505" s="2"/>
    </row>
    <row r="506" spans="1:9">
      <c r="A506" s="2"/>
      <c r="B506" s="2"/>
      <c r="C506" s="2"/>
      <c r="D506" s="2"/>
      <c r="E506" s="2"/>
      <c r="F506" s="2"/>
      <c r="G506" s="2"/>
      <c r="H506" s="2"/>
      <c r="I506" s="2"/>
    </row>
    <row r="507" spans="1:9">
      <c r="A507" s="2"/>
      <c r="B507" s="2"/>
      <c r="C507" s="2"/>
      <c r="D507" s="2"/>
      <c r="E507" s="2"/>
      <c r="F507" s="2"/>
      <c r="G507" s="2"/>
      <c r="H507" s="2"/>
      <c r="I507" s="2"/>
    </row>
    <row r="508" spans="1:9">
      <c r="A508" s="2"/>
      <c r="B508" s="2"/>
      <c r="C508" s="2"/>
      <c r="D508" s="2"/>
      <c r="E508" s="2"/>
      <c r="F508" s="2"/>
      <c r="G508" s="2"/>
      <c r="H508" s="2"/>
      <c r="I508" s="2"/>
    </row>
    <row r="509" spans="1:9">
      <c r="A509" s="3"/>
      <c r="B509" s="3"/>
      <c r="C509" s="3"/>
      <c r="D509" s="3"/>
      <c r="E509" s="3"/>
      <c r="F509" s="3"/>
      <c r="G509" s="3"/>
      <c r="H509" s="3"/>
      <c r="I509" s="3"/>
    </row>
    <row r="511" spans="1:9">
      <c r="A511" s="4"/>
      <c r="B511" s="4"/>
      <c r="C511" s="4"/>
      <c r="D511" s="4"/>
      <c r="E511" s="4"/>
      <c r="F511" s="4"/>
      <c r="G511" s="4"/>
      <c r="H511" s="4"/>
      <c r="I511" s="4"/>
    </row>
    <row r="512" spans="1:9">
      <c r="A512" s="1"/>
    </row>
    <row r="513" spans="1:9">
      <c r="A513" s="2"/>
      <c r="B513" s="2"/>
      <c r="C513" s="2"/>
      <c r="D513" s="2"/>
      <c r="E513" s="2"/>
      <c r="F513" s="2"/>
      <c r="G513" s="2"/>
      <c r="H513" s="2"/>
      <c r="I513" s="2"/>
    </row>
    <row r="514" spans="1:9">
      <c r="A514" s="2"/>
      <c r="B514" s="2"/>
      <c r="C514" s="2"/>
      <c r="D514" s="2"/>
      <c r="E514" s="2"/>
      <c r="F514" s="2"/>
      <c r="G514" s="2"/>
      <c r="H514" s="2"/>
      <c r="I514" s="2"/>
    </row>
    <row r="515" spans="1:9">
      <c r="A515" s="2"/>
      <c r="B515" s="2"/>
      <c r="C515" s="2"/>
      <c r="D515" s="2"/>
      <c r="E515" s="2"/>
      <c r="F515" s="2"/>
      <c r="G515" s="2"/>
      <c r="H515" s="2"/>
      <c r="I515" s="2"/>
    </row>
    <row r="516" spans="1:9">
      <c r="A516" s="2"/>
      <c r="B516" s="2"/>
      <c r="C516" s="2"/>
      <c r="D516" s="2"/>
      <c r="E516" s="2"/>
      <c r="F516" s="2"/>
      <c r="G516" s="2"/>
      <c r="H516" s="2"/>
      <c r="I516" s="2"/>
    </row>
    <row r="517" spans="1:9">
      <c r="A517" s="2"/>
      <c r="B517" s="2"/>
      <c r="C517" s="2"/>
      <c r="D517" s="2"/>
      <c r="E517" s="2"/>
      <c r="F517" s="2"/>
      <c r="G517" s="2"/>
      <c r="H517" s="2"/>
      <c r="I517" s="2"/>
    </row>
    <row r="518" spans="1:9">
      <c r="A518" s="2"/>
      <c r="B518" s="2"/>
      <c r="C518" s="2"/>
      <c r="D518" s="2"/>
      <c r="E518" s="2"/>
      <c r="F518" s="2"/>
      <c r="G518" s="2"/>
      <c r="H518" s="2"/>
      <c r="I518" s="2"/>
    </row>
    <row r="519" spans="1:9">
      <c r="A519" s="3"/>
      <c r="B519" s="3"/>
      <c r="C519" s="3"/>
      <c r="D519" s="3"/>
      <c r="E519" s="3"/>
      <c r="F519" s="3"/>
      <c r="G519" s="3"/>
      <c r="H519" s="3"/>
      <c r="I519" s="3"/>
    </row>
    <row r="521" spans="1:9">
      <c r="A521" s="4"/>
      <c r="B521" s="4"/>
      <c r="C521" s="4"/>
      <c r="D521" s="4"/>
      <c r="E521" s="4"/>
      <c r="F521" s="4"/>
      <c r="G521" s="4"/>
      <c r="H521" s="4"/>
      <c r="I521" s="4"/>
    </row>
    <row r="522" spans="1:9">
      <c r="A522" s="1"/>
    </row>
    <row r="523" spans="1:9">
      <c r="A523" s="2"/>
      <c r="B523" s="2"/>
      <c r="C523" s="2"/>
      <c r="D523" s="2"/>
      <c r="E523" s="2"/>
      <c r="F523" s="2"/>
      <c r="G523" s="2"/>
      <c r="H523" s="2"/>
      <c r="I523" s="2"/>
    </row>
    <row r="524" spans="1:9">
      <c r="A524" s="2"/>
      <c r="B524" s="2"/>
      <c r="C524" s="2"/>
      <c r="D524" s="2"/>
      <c r="E524" s="2"/>
      <c r="F524" s="2"/>
      <c r="G524" s="2"/>
      <c r="H524" s="2"/>
      <c r="I524" s="2"/>
    </row>
    <row r="525" spans="1:9">
      <c r="A525" s="2"/>
      <c r="B525" s="2"/>
      <c r="C525" s="2"/>
      <c r="D525" s="2"/>
      <c r="E525" s="2"/>
      <c r="F525" s="2"/>
      <c r="G525" s="2"/>
      <c r="H525" s="2"/>
      <c r="I525" s="2"/>
    </row>
    <row r="526" spans="1:9">
      <c r="A526" s="2"/>
      <c r="B526" s="2"/>
      <c r="C526" s="2"/>
      <c r="D526" s="2"/>
      <c r="E526" s="2"/>
      <c r="F526" s="2"/>
      <c r="G526" s="2"/>
      <c r="H526" s="2"/>
      <c r="I526" s="2"/>
    </row>
    <row r="527" spans="1:9">
      <c r="A527" s="2"/>
      <c r="B527" s="2"/>
      <c r="C527" s="2"/>
      <c r="D527" s="2"/>
      <c r="E527" s="2"/>
      <c r="F527" s="2"/>
      <c r="G527" s="2"/>
      <c r="H527" s="2"/>
      <c r="I527" s="2"/>
    </row>
    <row r="528" spans="1:9">
      <c r="A528" s="2"/>
      <c r="B528" s="2"/>
      <c r="C528" s="2"/>
      <c r="D528" s="2"/>
      <c r="E528" s="2"/>
      <c r="F528" s="2"/>
      <c r="G528" s="2"/>
      <c r="H528" s="2"/>
      <c r="I528" s="2"/>
    </row>
    <row r="530" spans="1:9">
      <c r="A530" s="4"/>
      <c r="B530" s="4"/>
      <c r="C530" s="4"/>
      <c r="D530" s="4"/>
      <c r="E530" s="4"/>
      <c r="F530" s="4"/>
      <c r="G530" s="4"/>
      <c r="H530" s="4"/>
      <c r="I530" s="4"/>
    </row>
    <row r="531" spans="1:9">
      <c r="A531" s="4"/>
      <c r="B531" s="4"/>
      <c r="C531" s="4"/>
      <c r="D531" s="4"/>
      <c r="E531" s="4"/>
      <c r="F531" s="4"/>
      <c r="G531" s="4"/>
      <c r="H531" s="4"/>
      <c r="I531" s="4"/>
    </row>
    <row r="532" spans="1:9">
      <c r="A532" s="1"/>
    </row>
    <row r="533" spans="1:9">
      <c r="A533" s="2"/>
      <c r="B533" s="2"/>
      <c r="C533" s="2"/>
      <c r="D533" s="2"/>
      <c r="E533" s="2"/>
      <c r="F533" s="2"/>
      <c r="G533" s="2"/>
      <c r="H533" s="2"/>
      <c r="I533" s="2"/>
    </row>
    <row r="534" spans="1:9">
      <c r="A534" s="2"/>
      <c r="B534" s="2"/>
      <c r="C534" s="2"/>
      <c r="D534" s="2"/>
      <c r="E534" s="2"/>
      <c r="F534" s="2"/>
      <c r="G534" s="2"/>
      <c r="H534" s="2"/>
      <c r="I534" s="2"/>
    </row>
    <row r="535" spans="1:9">
      <c r="A535" s="2"/>
      <c r="B535" s="2"/>
      <c r="C535" s="2"/>
      <c r="D535" s="2"/>
      <c r="E535" s="2"/>
      <c r="F535" s="2"/>
      <c r="G535" s="2"/>
      <c r="H535" s="2"/>
      <c r="I535" s="2"/>
    </row>
    <row r="536" spans="1:9">
      <c r="A536" s="2"/>
      <c r="B536" s="2"/>
      <c r="C536" s="2"/>
      <c r="D536" s="2"/>
      <c r="E536" s="2"/>
      <c r="F536" s="2"/>
      <c r="G536" s="2"/>
      <c r="H536" s="2"/>
      <c r="I536" s="2"/>
    </row>
    <row r="537" spans="1:9">
      <c r="A537" s="2"/>
      <c r="B537" s="2"/>
      <c r="C537" s="2"/>
      <c r="D537" s="2"/>
      <c r="E537" s="2"/>
      <c r="F537" s="2"/>
      <c r="G537" s="2"/>
      <c r="H537" s="2"/>
      <c r="I537" s="2"/>
    </row>
    <row r="538" spans="1:9">
      <c r="A538" s="2"/>
      <c r="B538" s="2"/>
      <c r="C538" s="2"/>
      <c r="D538" s="2"/>
      <c r="E538" s="2"/>
      <c r="F538" s="2"/>
      <c r="G538" s="2"/>
      <c r="H538" s="2"/>
      <c r="I538" s="2"/>
    </row>
    <row r="539" spans="1:9">
      <c r="A539" s="3"/>
      <c r="B539" s="3"/>
      <c r="C539" s="3"/>
      <c r="D539" s="3"/>
      <c r="E539" s="3"/>
      <c r="F539" s="3"/>
      <c r="G539" s="3"/>
      <c r="H539" s="3"/>
      <c r="I539" s="3"/>
    </row>
    <row r="541" spans="1:9">
      <c r="A541" s="4"/>
      <c r="B541" s="4"/>
      <c r="C541" s="4"/>
      <c r="D541" s="4"/>
      <c r="E541" s="4"/>
      <c r="F541" s="4"/>
      <c r="G541" s="4"/>
      <c r="H541" s="4"/>
      <c r="I541" s="4"/>
    </row>
    <row r="542" spans="1:9">
      <c r="A542" s="1"/>
    </row>
    <row r="543" spans="1:9">
      <c r="A543" s="2"/>
      <c r="B543" s="2"/>
      <c r="C543" s="2"/>
      <c r="D543" s="2"/>
      <c r="E543" s="2"/>
      <c r="F543" s="2"/>
      <c r="G543" s="2"/>
      <c r="H543" s="2"/>
      <c r="I543" s="2"/>
    </row>
    <row r="544" spans="1:9">
      <c r="A544" s="2"/>
      <c r="B544" s="2"/>
      <c r="C544" s="2"/>
      <c r="D544" s="2"/>
      <c r="E544" s="2"/>
      <c r="F544" s="2"/>
      <c r="G544" s="2"/>
      <c r="H544" s="2"/>
      <c r="I544" s="2"/>
    </row>
    <row r="545" spans="1:9">
      <c r="A545" s="2"/>
      <c r="B545" s="2"/>
      <c r="C545" s="2"/>
      <c r="D545" s="2"/>
      <c r="E545" s="2"/>
      <c r="F545" s="2"/>
      <c r="G545" s="2"/>
      <c r="H545" s="2"/>
      <c r="I545" s="2"/>
    </row>
    <row r="546" spans="1:9">
      <c r="A546" s="2"/>
      <c r="B546" s="2"/>
      <c r="C546" s="2"/>
      <c r="D546" s="2"/>
      <c r="E546" s="2"/>
      <c r="F546" s="2"/>
      <c r="G546" s="2"/>
      <c r="H546" s="2"/>
      <c r="I546" s="2"/>
    </row>
    <row r="547" spans="1:9">
      <c r="A547" s="2"/>
      <c r="B547" s="2"/>
      <c r="C547" s="2"/>
      <c r="D547" s="2"/>
      <c r="E547" s="2"/>
      <c r="F547" s="2"/>
      <c r="G547" s="2"/>
      <c r="H547" s="2"/>
      <c r="I547" s="2"/>
    </row>
    <row r="548" spans="1:9">
      <c r="A548" s="2"/>
      <c r="B548" s="2"/>
      <c r="C548" s="2"/>
      <c r="D548" s="2"/>
      <c r="E548" s="2"/>
      <c r="F548" s="2"/>
      <c r="G548" s="2"/>
      <c r="H548" s="2"/>
      <c r="I548" s="2"/>
    </row>
    <row r="549" spans="1:9">
      <c r="A549" s="3"/>
      <c r="B549" s="3"/>
      <c r="C549" s="3"/>
      <c r="D549" s="3"/>
      <c r="E549" s="3"/>
      <c r="F549" s="3"/>
      <c r="G549" s="3"/>
      <c r="H549" s="3"/>
      <c r="I549" s="3"/>
    </row>
    <row r="551" spans="1:9">
      <c r="A551" s="4"/>
      <c r="B551" s="4"/>
      <c r="C551" s="4"/>
      <c r="D551" s="4"/>
      <c r="E551" s="4"/>
      <c r="F551" s="4"/>
      <c r="G551" s="4"/>
      <c r="H551" s="4"/>
      <c r="I551" s="4"/>
    </row>
    <row r="552" spans="1:9">
      <c r="A552" s="1"/>
    </row>
    <row r="553" spans="1:9">
      <c r="A553" s="2"/>
      <c r="B553" s="2"/>
      <c r="C553" s="2"/>
      <c r="D553" s="2"/>
      <c r="E553" s="2"/>
      <c r="F553" s="2"/>
      <c r="G553" s="2"/>
      <c r="H553" s="2"/>
      <c r="I553" s="2"/>
    </row>
    <row r="554" spans="1:9">
      <c r="A554" s="2"/>
      <c r="B554" s="2"/>
      <c r="C554" s="2"/>
      <c r="D554" s="2"/>
      <c r="E554" s="2"/>
      <c r="F554" s="2"/>
      <c r="G554" s="2"/>
      <c r="H554" s="2"/>
      <c r="I554" s="2"/>
    </row>
    <row r="555" spans="1:9">
      <c r="A555" s="2"/>
      <c r="B555" s="2"/>
      <c r="C555" s="2"/>
      <c r="D555" s="2"/>
      <c r="E555" s="2"/>
      <c r="F555" s="2"/>
      <c r="G555" s="2"/>
      <c r="H555" s="2"/>
      <c r="I555" s="2"/>
    </row>
    <row r="556" spans="1:9">
      <c r="A556" s="2"/>
      <c r="B556" s="2"/>
      <c r="C556" s="2"/>
      <c r="D556" s="2"/>
      <c r="E556" s="2"/>
      <c r="F556" s="2"/>
      <c r="G556" s="2"/>
      <c r="H556" s="2"/>
      <c r="I556" s="2"/>
    </row>
    <row r="557" spans="1:9">
      <c r="A557" s="2"/>
      <c r="B557" s="2"/>
      <c r="C557" s="2"/>
      <c r="D557" s="2"/>
      <c r="E557" s="2"/>
      <c r="F557" s="2"/>
      <c r="G557" s="2"/>
      <c r="H557" s="2"/>
      <c r="I557" s="2"/>
    </row>
    <row r="558" spans="1:9">
      <c r="A558" s="2"/>
      <c r="B558" s="2"/>
      <c r="C558" s="2"/>
      <c r="D558" s="2"/>
      <c r="E558" s="2"/>
      <c r="F558" s="2"/>
      <c r="G558" s="2"/>
      <c r="H558" s="2"/>
      <c r="I558" s="2"/>
    </row>
    <row r="560" spans="1:9">
      <c r="A560" s="4"/>
      <c r="B560" s="4"/>
      <c r="C560" s="4"/>
      <c r="D560" s="4"/>
      <c r="E560" s="4"/>
      <c r="F560" s="4"/>
      <c r="G560" s="4"/>
      <c r="H560" s="4"/>
      <c r="I560" s="4"/>
    </row>
    <row r="561" spans="1:9">
      <c r="A561" s="4"/>
      <c r="B561" s="4"/>
      <c r="C561" s="4"/>
      <c r="D561" s="4"/>
      <c r="E561" s="4"/>
      <c r="F561" s="4"/>
      <c r="G561" s="4"/>
      <c r="H561" s="4"/>
      <c r="I561" s="4"/>
    </row>
    <row r="562" spans="1:9">
      <c r="A562" s="1"/>
    </row>
    <row r="563" spans="1:9">
      <c r="A563" s="2"/>
      <c r="B563" s="2"/>
      <c r="C563" s="2"/>
      <c r="D563" s="2"/>
      <c r="E563" s="2"/>
      <c r="F563" s="2"/>
      <c r="G563" s="2"/>
      <c r="H563" s="2"/>
      <c r="I563" s="2"/>
    </row>
    <row r="564" spans="1:9">
      <c r="A564" s="2"/>
      <c r="B564" s="2"/>
      <c r="C564" s="2"/>
      <c r="D564" s="2"/>
      <c r="E564" s="2"/>
      <c r="F564" s="2"/>
      <c r="G564" s="2"/>
      <c r="H564" s="2"/>
      <c r="I564" s="2"/>
    </row>
    <row r="565" spans="1:9">
      <c r="A565" s="2"/>
      <c r="B565" s="2"/>
      <c r="C565" s="2"/>
      <c r="D565" s="2"/>
      <c r="E565" s="2"/>
      <c r="F565" s="2"/>
      <c r="G565" s="2"/>
      <c r="H565" s="2"/>
      <c r="I565" s="2"/>
    </row>
    <row r="566" spans="1:9">
      <c r="A566" s="2"/>
      <c r="B566" s="2"/>
      <c r="C566" s="2"/>
      <c r="D566" s="2"/>
      <c r="E566" s="2"/>
      <c r="F566" s="2"/>
      <c r="G566" s="2"/>
      <c r="H566" s="2"/>
      <c r="I566" s="2"/>
    </row>
    <row r="567" spans="1:9">
      <c r="A567" s="2"/>
      <c r="B567" s="2"/>
      <c r="C567" s="2"/>
      <c r="D567" s="2"/>
      <c r="E567" s="2"/>
      <c r="F567" s="2"/>
      <c r="G567" s="2"/>
      <c r="H567" s="2"/>
      <c r="I567" s="2"/>
    </row>
    <row r="568" spans="1:9">
      <c r="A568" s="2"/>
      <c r="B568" s="2"/>
      <c r="C568" s="2"/>
      <c r="D568" s="2"/>
      <c r="E568" s="2"/>
      <c r="F568" s="2"/>
      <c r="G568" s="2"/>
      <c r="H568" s="2"/>
      <c r="I568" s="2"/>
    </row>
    <row r="569" spans="1:9">
      <c r="A569" s="3"/>
      <c r="B569" s="3"/>
      <c r="C569" s="3"/>
      <c r="D569" s="3"/>
      <c r="E569" s="3"/>
      <c r="F569" s="3"/>
      <c r="G569" s="3"/>
      <c r="H569" s="3"/>
      <c r="I569" s="3"/>
    </row>
    <row r="571" spans="1:9">
      <c r="A571" s="4"/>
      <c r="B571" s="4"/>
      <c r="C571" s="4"/>
      <c r="D571" s="4"/>
      <c r="E571" s="4"/>
      <c r="F571" s="4"/>
      <c r="G571" s="4"/>
      <c r="H571" s="4"/>
      <c r="I571" s="4"/>
    </row>
    <row r="572" spans="1:9">
      <c r="A572" s="1"/>
    </row>
    <row r="573" spans="1:9">
      <c r="A573" s="2"/>
      <c r="B573" s="2"/>
      <c r="C573" s="2"/>
      <c r="D573" s="2"/>
      <c r="E573" s="2"/>
      <c r="F573" s="2"/>
      <c r="G573" s="2"/>
      <c r="H573" s="2"/>
      <c r="I573" s="2"/>
    </row>
    <row r="574" spans="1:9">
      <c r="A574" s="2"/>
      <c r="B574" s="2"/>
      <c r="C574" s="2"/>
      <c r="D574" s="2"/>
      <c r="E574" s="2"/>
      <c r="F574" s="2"/>
      <c r="G574" s="2"/>
      <c r="H574" s="2"/>
      <c r="I574" s="2"/>
    </row>
    <row r="575" spans="1:9">
      <c r="A575" s="2"/>
      <c r="B575" s="2"/>
      <c r="C575" s="2"/>
      <c r="D575" s="2"/>
      <c r="E575" s="2"/>
      <c r="F575" s="2"/>
      <c r="G575" s="2"/>
      <c r="H575" s="2"/>
      <c r="I575" s="2"/>
    </row>
    <row r="576" spans="1:9">
      <c r="A576" s="2"/>
      <c r="B576" s="2"/>
      <c r="C576" s="2"/>
      <c r="D576" s="2"/>
      <c r="E576" s="2"/>
      <c r="F576" s="2"/>
      <c r="G576" s="2"/>
      <c r="H576" s="2"/>
      <c r="I576" s="2"/>
    </row>
    <row r="577" spans="1:9">
      <c r="A577" s="2"/>
      <c r="B577" s="2"/>
      <c r="C577" s="2"/>
      <c r="D577" s="2"/>
      <c r="E577" s="2"/>
      <c r="F577" s="2"/>
      <c r="G577" s="2"/>
      <c r="H577" s="2"/>
      <c r="I577" s="2"/>
    </row>
    <row r="578" spans="1:9">
      <c r="A578" s="2"/>
      <c r="B578" s="2"/>
      <c r="C578" s="2"/>
      <c r="D578" s="2"/>
      <c r="E578" s="2"/>
      <c r="F578" s="2"/>
      <c r="G578" s="2"/>
      <c r="H578" s="2"/>
      <c r="I578" s="2"/>
    </row>
    <row r="579" spans="1:9">
      <c r="A579" s="3"/>
      <c r="B579" s="3"/>
      <c r="C579" s="3"/>
      <c r="D579" s="3"/>
      <c r="E579" s="3"/>
      <c r="F579" s="3"/>
      <c r="G579" s="3"/>
      <c r="H579" s="3"/>
      <c r="I579" s="3"/>
    </row>
    <row r="581" spans="1:9">
      <c r="A581" s="4"/>
      <c r="B581" s="4"/>
      <c r="C581" s="4"/>
      <c r="D581" s="4"/>
      <c r="E581" s="4"/>
      <c r="F581" s="4"/>
      <c r="G581" s="4"/>
      <c r="H581" s="4"/>
      <c r="I581" s="4"/>
    </row>
    <row r="582" spans="1:9">
      <c r="A582" s="1"/>
    </row>
    <row r="583" spans="1:9">
      <c r="A583" s="2"/>
      <c r="B583" s="2"/>
      <c r="C583" s="2"/>
      <c r="D583" s="2"/>
      <c r="E583" s="2"/>
      <c r="F583" s="2"/>
      <c r="G583" s="2"/>
      <c r="H583" s="2"/>
      <c r="I583" s="2"/>
    </row>
    <row r="584" spans="1:9">
      <c r="A584" s="2"/>
      <c r="B584" s="2"/>
      <c r="C584" s="2"/>
      <c r="D584" s="2"/>
      <c r="E584" s="2"/>
      <c r="F584" s="2"/>
      <c r="G584" s="2"/>
      <c r="H584" s="2"/>
      <c r="I584" s="2"/>
    </row>
    <row r="585" spans="1:9">
      <c r="A585" s="2"/>
      <c r="B585" s="2"/>
      <c r="C585" s="2"/>
      <c r="D585" s="2"/>
      <c r="E585" s="2"/>
      <c r="F585" s="2"/>
      <c r="G585" s="2"/>
      <c r="H585" s="2"/>
      <c r="I585" s="2"/>
    </row>
    <row r="586" spans="1:9">
      <c r="A586" s="2"/>
      <c r="B586" s="2"/>
      <c r="C586" s="2"/>
      <c r="D586" s="2"/>
      <c r="E586" s="2"/>
      <c r="F586" s="2"/>
      <c r="G586" s="2"/>
      <c r="H586" s="2"/>
      <c r="I586" s="2"/>
    </row>
    <row r="587" spans="1:9">
      <c r="A587" s="2"/>
      <c r="B587" s="2"/>
      <c r="C587" s="2"/>
      <c r="D587" s="2"/>
      <c r="E587" s="2"/>
      <c r="F587" s="2"/>
      <c r="G587" s="2"/>
      <c r="H587" s="2"/>
      <c r="I587" s="2"/>
    </row>
    <row r="588" spans="1:9">
      <c r="A588" s="2"/>
      <c r="B588" s="2"/>
      <c r="C588" s="2"/>
      <c r="D588" s="2"/>
      <c r="E588" s="2"/>
      <c r="F588" s="2"/>
      <c r="G588" s="2"/>
      <c r="H588" s="2"/>
      <c r="I588" s="2"/>
    </row>
    <row r="590" spans="1:9">
      <c r="A590" s="4"/>
      <c r="B590" s="4"/>
      <c r="C590" s="4"/>
      <c r="D590" s="4"/>
      <c r="E590" s="4"/>
      <c r="F590" s="4"/>
      <c r="G590" s="4"/>
      <c r="H590" s="4"/>
      <c r="I590" s="4"/>
    </row>
    <row r="591" spans="1:9">
      <c r="A591" s="4"/>
      <c r="B591" s="4"/>
      <c r="C591" s="4"/>
      <c r="D591" s="4"/>
      <c r="E591" s="4"/>
      <c r="F591" s="4"/>
      <c r="G591" s="4"/>
      <c r="H591" s="4"/>
      <c r="I591" s="4"/>
    </row>
    <row r="592" spans="1:9">
      <c r="A592" s="1"/>
    </row>
    <row r="593" spans="1:9">
      <c r="A593" s="2"/>
      <c r="B593" s="2"/>
      <c r="C593" s="2"/>
      <c r="D593" s="2"/>
      <c r="E593" s="2"/>
      <c r="F593" s="2"/>
      <c r="G593" s="2"/>
      <c r="H593" s="2"/>
      <c r="I593" s="2"/>
    </row>
    <row r="594" spans="1:9">
      <c r="A594" s="2"/>
      <c r="B594" s="2"/>
      <c r="C594" s="2"/>
      <c r="D594" s="2"/>
      <c r="E594" s="2"/>
      <c r="F594" s="2"/>
      <c r="G594" s="2"/>
      <c r="H594" s="2"/>
      <c r="I594" s="2"/>
    </row>
    <row r="595" spans="1:9">
      <c r="A595" s="2"/>
      <c r="B595" s="2"/>
      <c r="C595" s="2"/>
      <c r="D595" s="2"/>
      <c r="E595" s="2"/>
      <c r="F595" s="2"/>
      <c r="G595" s="2"/>
      <c r="H595" s="2"/>
      <c r="I595" s="2"/>
    </row>
    <row r="596" spans="1:9">
      <c r="A596" s="2"/>
      <c r="B596" s="2"/>
      <c r="C596" s="2"/>
      <c r="D596" s="2"/>
      <c r="E596" s="2"/>
      <c r="F596" s="2"/>
      <c r="G596" s="2"/>
      <c r="H596" s="2"/>
      <c r="I596" s="2"/>
    </row>
    <row r="597" spans="1:9">
      <c r="A597" s="2"/>
      <c r="B597" s="2"/>
      <c r="C597" s="2"/>
      <c r="D597" s="2"/>
      <c r="E597" s="2"/>
      <c r="F597" s="2"/>
      <c r="G597" s="2"/>
      <c r="H597" s="2"/>
      <c r="I597" s="2"/>
    </row>
    <row r="598" spans="1:9">
      <c r="A598" s="2"/>
      <c r="B598" s="2"/>
      <c r="C598" s="2"/>
      <c r="D598" s="2"/>
      <c r="E598" s="2"/>
      <c r="F598" s="2"/>
      <c r="G598" s="2"/>
      <c r="H598" s="2"/>
      <c r="I598" s="2"/>
    </row>
    <row r="599" spans="1:9">
      <c r="A599" s="3"/>
      <c r="B599" s="3"/>
      <c r="C599" s="3"/>
      <c r="D599" s="3"/>
      <c r="E599" s="3"/>
      <c r="F599" s="3"/>
      <c r="G599" s="3"/>
      <c r="H599" s="3"/>
      <c r="I599" s="3"/>
    </row>
    <row r="601" spans="1:9">
      <c r="A601" s="4"/>
      <c r="B601" s="4"/>
      <c r="C601" s="4"/>
      <c r="D601" s="4"/>
      <c r="E601" s="4"/>
      <c r="F601" s="4"/>
      <c r="G601" s="4"/>
      <c r="H601" s="4"/>
      <c r="I601" s="4"/>
    </row>
    <row r="602" spans="1:9">
      <c r="A602" s="1"/>
    </row>
    <row r="603" spans="1:9">
      <c r="A603" s="2"/>
      <c r="B603" s="2"/>
      <c r="C603" s="2"/>
      <c r="D603" s="2"/>
      <c r="E603" s="2"/>
      <c r="F603" s="2"/>
      <c r="G603" s="2"/>
      <c r="H603" s="2"/>
      <c r="I603" s="2"/>
    </row>
    <row r="604" spans="1:9">
      <c r="A604" s="2"/>
      <c r="B604" s="2"/>
      <c r="C604" s="2"/>
      <c r="D604" s="2"/>
      <c r="E604" s="2"/>
      <c r="F604" s="2"/>
      <c r="G604" s="2"/>
      <c r="H604" s="2"/>
      <c r="I604" s="2"/>
    </row>
    <row r="605" spans="1:9">
      <c r="A605" s="2"/>
      <c r="B605" s="2"/>
      <c r="C605" s="2"/>
      <c r="D605" s="2"/>
      <c r="E605" s="2"/>
      <c r="F605" s="2"/>
      <c r="G605" s="2"/>
      <c r="H605" s="2"/>
      <c r="I605" s="2"/>
    </row>
    <row r="606" spans="1:9">
      <c r="A606" s="2"/>
      <c r="B606" s="2"/>
      <c r="C606" s="2"/>
      <c r="D606" s="2"/>
      <c r="E606" s="2"/>
      <c r="F606" s="2"/>
      <c r="G606" s="2"/>
      <c r="H606" s="2"/>
      <c r="I606" s="2"/>
    </row>
    <row r="607" spans="1:9">
      <c r="A607" s="2"/>
      <c r="B607" s="2"/>
      <c r="C607" s="2"/>
      <c r="D607" s="2"/>
      <c r="E607" s="2"/>
      <c r="F607" s="2"/>
      <c r="G607" s="2"/>
      <c r="H607" s="2"/>
      <c r="I607" s="2"/>
    </row>
    <row r="608" spans="1:9">
      <c r="A608" s="2"/>
      <c r="B608" s="2"/>
      <c r="C608" s="2"/>
      <c r="D608" s="2"/>
      <c r="E608" s="2"/>
      <c r="F608" s="2"/>
      <c r="G608" s="2"/>
      <c r="H608" s="2"/>
      <c r="I608" s="2"/>
    </row>
    <row r="609" spans="1:9">
      <c r="A609" s="3"/>
      <c r="B609" s="3"/>
      <c r="C609" s="3"/>
      <c r="D609" s="3"/>
      <c r="E609" s="3"/>
      <c r="F609" s="3"/>
      <c r="G609" s="3"/>
      <c r="H609" s="3"/>
      <c r="I609" s="3"/>
    </row>
    <row r="611" spans="1:9">
      <c r="A611" s="4"/>
      <c r="B611" s="4"/>
      <c r="C611" s="4"/>
      <c r="D611" s="4"/>
      <c r="E611" s="4"/>
      <c r="F611" s="4"/>
      <c r="G611" s="4"/>
      <c r="H611" s="4"/>
      <c r="I611" s="4"/>
    </row>
    <row r="612" spans="1:9">
      <c r="A612" s="1"/>
    </row>
    <row r="613" spans="1:9">
      <c r="A613" s="2"/>
      <c r="B613" s="2"/>
      <c r="C613" s="2"/>
      <c r="D613" s="2"/>
      <c r="E613" s="2"/>
      <c r="F613" s="2"/>
      <c r="G613" s="2"/>
      <c r="H613" s="2"/>
      <c r="I613" s="2"/>
    </row>
    <row r="614" spans="1:9">
      <c r="A614" s="2"/>
      <c r="B614" s="2"/>
      <c r="C614" s="2"/>
      <c r="D614" s="2"/>
      <c r="E614" s="2"/>
      <c r="F614" s="2"/>
      <c r="G614" s="2"/>
      <c r="H614" s="2"/>
      <c r="I614" s="2"/>
    </row>
    <row r="615" spans="1:9">
      <c r="A615" s="2"/>
      <c r="B615" s="2"/>
      <c r="C615" s="2"/>
      <c r="D615" s="2"/>
      <c r="E615" s="2"/>
      <c r="F615" s="2"/>
      <c r="G615" s="2"/>
      <c r="H615" s="2"/>
      <c r="I615" s="2"/>
    </row>
    <row r="616" spans="1:9">
      <c r="A616" s="2"/>
      <c r="B616" s="2"/>
      <c r="C616" s="2"/>
      <c r="D616" s="2"/>
      <c r="E616" s="2"/>
      <c r="F616" s="2"/>
      <c r="G616" s="2"/>
      <c r="H616" s="2"/>
      <c r="I616" s="2"/>
    </row>
    <row r="617" spans="1:9">
      <c r="A617" s="2"/>
      <c r="B617" s="2"/>
      <c r="C617" s="2"/>
      <c r="D617" s="2"/>
      <c r="E617" s="2"/>
      <c r="F617" s="2"/>
      <c r="G617" s="2"/>
      <c r="H617" s="2"/>
      <c r="I617" s="2"/>
    </row>
    <row r="618" spans="1:9">
      <c r="A618" s="2"/>
      <c r="B618" s="2"/>
      <c r="C618" s="2"/>
      <c r="D618" s="2"/>
      <c r="E618" s="2"/>
      <c r="F618" s="2"/>
      <c r="G618" s="2"/>
      <c r="H618" s="2"/>
      <c r="I618" s="2"/>
    </row>
    <row r="620" spans="1:9">
      <c r="A620" s="4"/>
      <c r="B620" s="4"/>
      <c r="C620" s="4"/>
      <c r="D620" s="4"/>
      <c r="E620" s="4"/>
      <c r="F620" s="4"/>
      <c r="G620" s="4"/>
      <c r="H620" s="4"/>
      <c r="I620" s="4"/>
    </row>
    <row r="621" spans="1:9">
      <c r="A621" s="4"/>
      <c r="B621" s="4"/>
      <c r="C621" s="4"/>
      <c r="D621" s="4"/>
      <c r="E621" s="4"/>
      <c r="F621" s="4"/>
      <c r="G621" s="4"/>
      <c r="H621" s="4"/>
      <c r="I621" s="4"/>
    </row>
    <row r="622" spans="1:9">
      <c r="A622" s="1"/>
    </row>
    <row r="623" spans="1:9">
      <c r="A623" s="2"/>
      <c r="B623" s="2"/>
      <c r="C623" s="2"/>
      <c r="D623" s="2"/>
      <c r="E623" s="2"/>
      <c r="F623" s="2"/>
      <c r="G623" s="2"/>
      <c r="H623" s="2"/>
      <c r="I623" s="2"/>
    </row>
    <row r="624" spans="1:9">
      <c r="A624" s="2"/>
      <c r="B624" s="2"/>
      <c r="C624" s="2"/>
      <c r="D624" s="2"/>
      <c r="E624" s="2"/>
      <c r="F624" s="2"/>
      <c r="G624" s="2"/>
      <c r="H624" s="2"/>
      <c r="I624" s="2"/>
    </row>
    <row r="625" spans="1:9">
      <c r="A625" s="2"/>
      <c r="B625" s="2"/>
      <c r="C625" s="2"/>
      <c r="D625" s="2"/>
      <c r="E625" s="2"/>
      <c r="F625" s="2"/>
      <c r="G625" s="2"/>
      <c r="H625" s="2"/>
      <c r="I625" s="2"/>
    </row>
    <row r="626" spans="1:9">
      <c r="A626" s="2"/>
      <c r="B626" s="2"/>
      <c r="C626" s="2"/>
      <c r="D626" s="2"/>
      <c r="E626" s="2"/>
      <c r="F626" s="2"/>
      <c r="G626" s="2"/>
      <c r="H626" s="2"/>
      <c r="I626" s="2"/>
    </row>
    <row r="627" spans="1:9">
      <c r="A627" s="2"/>
      <c r="B627" s="2"/>
      <c r="C627" s="2"/>
      <c r="D627" s="2"/>
      <c r="E627" s="2"/>
      <c r="F627" s="2"/>
      <c r="G627" s="2"/>
      <c r="H627" s="2"/>
      <c r="I627" s="2"/>
    </row>
    <row r="628" spans="1:9">
      <c r="A628" s="2"/>
      <c r="B628" s="2"/>
      <c r="C628" s="2"/>
      <c r="D628" s="2"/>
      <c r="E628" s="2"/>
      <c r="F628" s="2"/>
      <c r="G628" s="2"/>
      <c r="H628" s="2"/>
      <c r="I628" s="2"/>
    </row>
    <row r="629" spans="1:9">
      <c r="A629" s="3"/>
      <c r="B629" s="3"/>
      <c r="C629" s="3"/>
      <c r="D629" s="3"/>
      <c r="E629" s="3"/>
      <c r="F629" s="3"/>
      <c r="G629" s="3"/>
      <c r="H629" s="3"/>
      <c r="I629" s="3"/>
    </row>
    <row r="631" spans="1:9">
      <c r="A631" s="4"/>
      <c r="B631" s="4"/>
      <c r="C631" s="4"/>
      <c r="D631" s="4"/>
      <c r="E631" s="4"/>
      <c r="F631" s="4"/>
      <c r="G631" s="4"/>
      <c r="H631" s="4"/>
      <c r="I631" s="4"/>
    </row>
    <row r="632" spans="1:9">
      <c r="A632" s="1"/>
    </row>
    <row r="633" spans="1:9">
      <c r="A633" s="2"/>
      <c r="B633" s="2"/>
      <c r="C633" s="2"/>
      <c r="D633" s="2"/>
      <c r="E633" s="2"/>
      <c r="F633" s="2"/>
      <c r="G633" s="2"/>
      <c r="H633" s="2"/>
      <c r="I633" s="2"/>
    </row>
    <row r="634" spans="1:9">
      <c r="A634" s="2"/>
      <c r="B634" s="2"/>
      <c r="C634" s="2"/>
      <c r="D634" s="2"/>
      <c r="E634" s="2"/>
      <c r="F634" s="2"/>
      <c r="G634" s="2"/>
      <c r="H634" s="2"/>
      <c r="I634" s="2"/>
    </row>
    <row r="635" spans="1:9">
      <c r="A635" s="2"/>
      <c r="B635" s="2"/>
      <c r="C635" s="2"/>
      <c r="D635" s="2"/>
      <c r="E635" s="2"/>
      <c r="F635" s="2"/>
      <c r="G635" s="2"/>
      <c r="H635" s="2"/>
      <c r="I635" s="2"/>
    </row>
    <row r="636" spans="1:9">
      <c r="A636" s="2"/>
      <c r="B636" s="2"/>
      <c r="C636" s="2"/>
      <c r="D636" s="2"/>
      <c r="E636" s="2"/>
      <c r="F636" s="2"/>
      <c r="G636" s="2"/>
      <c r="H636" s="2"/>
      <c r="I636" s="2"/>
    </row>
    <row r="637" spans="1:9">
      <c r="A637" s="2"/>
      <c r="B637" s="2"/>
      <c r="C637" s="2"/>
      <c r="D637" s="2"/>
      <c r="E637" s="2"/>
      <c r="F637" s="2"/>
      <c r="G637" s="2"/>
      <c r="H637" s="2"/>
      <c r="I637" s="2"/>
    </row>
    <row r="638" spans="1:9">
      <c r="A638" s="2"/>
      <c r="B638" s="2"/>
      <c r="C638" s="2"/>
      <c r="D638" s="2"/>
      <c r="E638" s="2"/>
      <c r="F638" s="2"/>
      <c r="G638" s="2"/>
      <c r="H638" s="2"/>
      <c r="I638" s="2"/>
    </row>
    <row r="639" spans="1:9">
      <c r="A639" s="3"/>
      <c r="B639" s="3"/>
      <c r="C639" s="3"/>
      <c r="D639" s="3"/>
      <c r="E639" s="3"/>
      <c r="F639" s="3"/>
      <c r="G639" s="3"/>
      <c r="H639" s="3"/>
      <c r="I639" s="3"/>
    </row>
    <row r="641" spans="1:9">
      <c r="A641" s="4"/>
      <c r="B641" s="4"/>
      <c r="C641" s="4"/>
      <c r="D641" s="4"/>
      <c r="E641" s="4"/>
      <c r="F641" s="4"/>
      <c r="G641" s="4"/>
      <c r="H641" s="4"/>
      <c r="I641" s="4"/>
    </row>
    <row r="642" spans="1:9">
      <c r="A642" s="1"/>
    </row>
    <row r="643" spans="1:9">
      <c r="A643" s="2"/>
      <c r="B643" s="2"/>
      <c r="C643" s="2"/>
      <c r="D643" s="2"/>
      <c r="E643" s="2"/>
      <c r="F643" s="2"/>
      <c r="G643" s="2"/>
      <c r="H643" s="2"/>
      <c r="I643" s="2"/>
    </row>
    <row r="644" spans="1:9">
      <c r="A644" s="2"/>
      <c r="B644" s="2"/>
      <c r="C644" s="2"/>
      <c r="D644" s="2"/>
      <c r="E644" s="2"/>
      <c r="F644" s="2"/>
      <c r="G644" s="2"/>
      <c r="H644" s="2"/>
      <c r="I644" s="2"/>
    </row>
    <row r="645" spans="1:9">
      <c r="A645" s="2"/>
      <c r="B645" s="2"/>
      <c r="C645" s="2"/>
      <c r="D645" s="2"/>
      <c r="E645" s="2"/>
      <c r="F645" s="2"/>
      <c r="G645" s="2"/>
      <c r="H645" s="2"/>
      <c r="I645" s="2"/>
    </row>
    <row r="646" spans="1:9">
      <c r="A646" s="2"/>
      <c r="B646" s="2"/>
      <c r="C646" s="2"/>
      <c r="D646" s="2"/>
      <c r="E646" s="2"/>
      <c r="F646" s="2"/>
      <c r="G646" s="2"/>
      <c r="H646" s="2"/>
      <c r="I646" s="2"/>
    </row>
    <row r="647" spans="1:9">
      <c r="A647" s="2"/>
      <c r="B647" s="2"/>
      <c r="C647" s="2"/>
      <c r="D647" s="2"/>
      <c r="E647" s="2"/>
      <c r="F647" s="2"/>
      <c r="G647" s="2"/>
      <c r="H647" s="2"/>
      <c r="I647" s="2"/>
    </row>
    <row r="648" spans="1:9">
      <c r="A648" s="2"/>
      <c r="B648" s="2"/>
      <c r="C648" s="2"/>
      <c r="D648" s="2"/>
      <c r="E648" s="2"/>
      <c r="F648" s="2"/>
      <c r="G648" s="2"/>
      <c r="H648" s="2"/>
      <c r="I648" s="2"/>
    </row>
    <row r="650" spans="1:9">
      <c r="A650" s="4"/>
      <c r="B650" s="4"/>
      <c r="C650" s="4"/>
      <c r="D650" s="4"/>
      <c r="E650" s="4"/>
      <c r="F650" s="4"/>
      <c r="G650" s="4"/>
      <c r="H650" s="4"/>
      <c r="I650" s="4"/>
    </row>
    <row r="651" spans="1:9">
      <c r="A651" s="4"/>
      <c r="B651" s="4"/>
      <c r="C651" s="4"/>
      <c r="D651" s="4"/>
      <c r="E651" s="4"/>
      <c r="F651" s="4"/>
      <c r="G651" s="4"/>
      <c r="H651" s="4"/>
      <c r="I651" s="4"/>
    </row>
    <row r="652" spans="1:9">
      <c r="A652" s="1"/>
    </row>
    <row r="653" spans="1:9">
      <c r="A653" s="2"/>
      <c r="B653" s="2"/>
      <c r="C653" s="2"/>
      <c r="D653" s="2"/>
      <c r="E653" s="2"/>
      <c r="F653" s="2"/>
      <c r="G653" s="2"/>
      <c r="H653" s="2"/>
      <c r="I653" s="2"/>
    </row>
    <row r="654" spans="1:9">
      <c r="A654" s="2"/>
      <c r="B654" s="2"/>
      <c r="C654" s="2"/>
      <c r="D654" s="2"/>
      <c r="E654" s="2"/>
      <c r="F654" s="2"/>
      <c r="G654" s="2"/>
      <c r="H654" s="2"/>
      <c r="I654" s="2"/>
    </row>
    <row r="655" spans="1:9">
      <c r="A655" s="2"/>
      <c r="B655" s="2"/>
      <c r="C655" s="2"/>
      <c r="D655" s="2"/>
      <c r="E655" s="2"/>
      <c r="F655" s="2"/>
      <c r="G655" s="2"/>
      <c r="H655" s="2"/>
      <c r="I655" s="2"/>
    </row>
    <row r="656" spans="1:9">
      <c r="A656" s="2"/>
      <c r="B656" s="2"/>
      <c r="C656" s="2"/>
      <c r="D656" s="2"/>
      <c r="E656" s="2"/>
      <c r="F656" s="2"/>
      <c r="G656" s="2"/>
      <c r="H656" s="2"/>
      <c r="I656" s="2"/>
    </row>
    <row r="657" spans="1:9">
      <c r="A657" s="2"/>
      <c r="B657" s="2"/>
      <c r="C657" s="2"/>
      <c r="D657" s="2"/>
      <c r="E657" s="2"/>
      <c r="F657" s="2"/>
      <c r="G657" s="2"/>
      <c r="H657" s="2"/>
      <c r="I657" s="2"/>
    </row>
    <row r="658" spans="1:9">
      <c r="A658" s="2"/>
      <c r="B658" s="2"/>
      <c r="C658" s="2"/>
      <c r="D658" s="2"/>
      <c r="E658" s="2"/>
      <c r="F658" s="2"/>
      <c r="G658" s="2"/>
      <c r="H658" s="2"/>
      <c r="I658" s="2"/>
    </row>
    <row r="659" spans="1:9">
      <c r="A659" s="3"/>
      <c r="B659" s="3"/>
      <c r="C659" s="3"/>
      <c r="D659" s="3"/>
      <c r="E659" s="3"/>
      <c r="F659" s="3"/>
      <c r="G659" s="3"/>
      <c r="H659" s="3"/>
      <c r="I659" s="3"/>
    </row>
    <row r="661" spans="1:9">
      <c r="A661" s="4"/>
      <c r="B661" s="4"/>
      <c r="C661" s="4"/>
      <c r="D661" s="4"/>
      <c r="E661" s="4"/>
      <c r="F661" s="4"/>
      <c r="G661" s="4"/>
      <c r="H661" s="4"/>
      <c r="I661" s="4"/>
    </row>
    <row r="662" spans="1:9">
      <c r="A662" s="1"/>
    </row>
    <row r="663" spans="1:9">
      <c r="A663" s="2"/>
      <c r="B663" s="2"/>
      <c r="C663" s="2"/>
      <c r="D663" s="2"/>
      <c r="E663" s="2"/>
      <c r="F663" s="2"/>
      <c r="G663" s="2"/>
      <c r="H663" s="2"/>
      <c r="I663" s="2"/>
    </row>
    <row r="664" spans="1:9">
      <c r="A664" s="2"/>
      <c r="B664" s="2"/>
      <c r="C664" s="2"/>
      <c r="D664" s="2"/>
      <c r="E664" s="2"/>
      <c r="F664" s="2"/>
      <c r="G664" s="2"/>
      <c r="H664" s="2"/>
      <c r="I664" s="2"/>
    </row>
    <row r="665" spans="1:9">
      <c r="A665" s="2"/>
      <c r="B665" s="2"/>
      <c r="C665" s="2"/>
      <c r="D665" s="2"/>
      <c r="E665" s="2"/>
      <c r="F665" s="2"/>
      <c r="G665" s="2"/>
      <c r="H665" s="2"/>
      <c r="I665" s="2"/>
    </row>
    <row r="666" spans="1:9">
      <c r="A666" s="2"/>
      <c r="B666" s="2"/>
      <c r="C666" s="2"/>
      <c r="D666" s="2"/>
      <c r="E666" s="2"/>
      <c r="F666" s="2"/>
      <c r="G666" s="2"/>
      <c r="H666" s="2"/>
      <c r="I666" s="2"/>
    </row>
    <row r="667" spans="1:9">
      <c r="A667" s="2"/>
      <c r="B667" s="2"/>
      <c r="C667" s="2"/>
      <c r="D667" s="2"/>
      <c r="E667" s="2"/>
      <c r="F667" s="2"/>
      <c r="G667" s="2"/>
      <c r="H667" s="2"/>
      <c r="I667" s="2"/>
    </row>
    <row r="668" spans="1:9">
      <c r="A668" s="2"/>
      <c r="B668" s="2"/>
      <c r="C668" s="2"/>
      <c r="D668" s="2"/>
      <c r="E668" s="2"/>
      <c r="F668" s="2"/>
      <c r="G668" s="2"/>
      <c r="H668" s="2"/>
      <c r="I668" s="2"/>
    </row>
    <row r="669" spans="1:9">
      <c r="A669" s="3"/>
      <c r="B669" s="3"/>
      <c r="C669" s="3"/>
      <c r="D669" s="3"/>
      <c r="E669" s="3"/>
      <c r="F669" s="3"/>
      <c r="G669" s="3"/>
      <c r="H669" s="3"/>
      <c r="I669" s="3"/>
    </row>
    <row r="671" spans="1:9">
      <c r="A671" s="4"/>
      <c r="B671" s="4"/>
      <c r="C671" s="4"/>
      <c r="D671" s="4"/>
      <c r="E671" s="4"/>
      <c r="F671" s="4"/>
      <c r="G671" s="4"/>
      <c r="H671" s="4"/>
      <c r="I671" s="4"/>
    </row>
    <row r="672" spans="1:9">
      <c r="A672" s="1"/>
    </row>
    <row r="673" spans="1:9">
      <c r="A673" s="2"/>
      <c r="B673" s="2"/>
      <c r="C673" s="2"/>
      <c r="D673" s="2"/>
      <c r="E673" s="2"/>
      <c r="F673" s="2"/>
      <c r="G673" s="2"/>
      <c r="H673" s="2"/>
      <c r="I673" s="2"/>
    </row>
    <row r="674" spans="1:9">
      <c r="A674" s="2"/>
      <c r="B674" s="2"/>
      <c r="C674" s="2"/>
      <c r="D674" s="2"/>
      <c r="E674" s="2"/>
      <c r="F674" s="2"/>
      <c r="G674" s="2"/>
      <c r="H674" s="2"/>
      <c r="I674" s="2"/>
    </row>
    <row r="675" spans="1:9">
      <c r="A675" s="2"/>
      <c r="B675" s="2"/>
      <c r="C675" s="2"/>
      <c r="D675" s="2"/>
      <c r="E675" s="2"/>
      <c r="F675" s="2"/>
      <c r="G675" s="2"/>
      <c r="H675" s="2"/>
      <c r="I675" s="2"/>
    </row>
    <row r="676" spans="1:9">
      <c r="A676" s="2"/>
      <c r="B676" s="2"/>
      <c r="C676" s="2"/>
      <c r="D676" s="2"/>
      <c r="E676" s="2"/>
      <c r="F676" s="2"/>
      <c r="G676" s="2"/>
      <c r="H676" s="2"/>
      <c r="I676" s="2"/>
    </row>
    <row r="677" spans="1:9">
      <c r="A677" s="2"/>
      <c r="B677" s="2"/>
      <c r="C677" s="2"/>
      <c r="D677" s="2"/>
      <c r="E677" s="2"/>
      <c r="F677" s="2"/>
      <c r="G677" s="2"/>
      <c r="H677" s="2"/>
      <c r="I677" s="2"/>
    </row>
    <row r="678" spans="1:9">
      <c r="A678" s="2"/>
      <c r="B678" s="2"/>
      <c r="C678" s="2"/>
      <c r="D678" s="2"/>
      <c r="E678" s="2"/>
      <c r="F678" s="2"/>
      <c r="G678" s="2"/>
      <c r="H678" s="2"/>
      <c r="I678" s="2"/>
    </row>
    <row r="680" spans="1:9">
      <c r="A680" s="4"/>
      <c r="B680" s="4"/>
      <c r="C680" s="4"/>
      <c r="D680" s="4"/>
      <c r="E680" s="4"/>
      <c r="F680" s="4"/>
      <c r="G680" s="4"/>
      <c r="H680" s="4"/>
      <c r="I680" s="4"/>
    </row>
    <row r="681" spans="1:9">
      <c r="A681" s="4"/>
      <c r="B681" s="4"/>
      <c r="C681" s="4"/>
      <c r="D681" s="4"/>
      <c r="E681" s="4"/>
      <c r="F681" s="4"/>
      <c r="G681" s="4"/>
      <c r="H681" s="4"/>
      <c r="I681" s="4"/>
    </row>
    <row r="682" spans="1:9">
      <c r="A682" s="1"/>
    </row>
    <row r="683" spans="1:9">
      <c r="A683" s="2"/>
      <c r="B683" s="2"/>
      <c r="C683" s="2"/>
      <c r="D683" s="2"/>
      <c r="E683" s="2"/>
      <c r="F683" s="2"/>
      <c r="G683" s="2"/>
      <c r="H683" s="2"/>
      <c r="I683" s="2"/>
    </row>
    <row r="684" spans="1:9">
      <c r="A684" s="2"/>
      <c r="B684" s="2"/>
      <c r="C684" s="2"/>
      <c r="D684" s="2"/>
      <c r="E684" s="2"/>
      <c r="F684" s="2"/>
      <c r="G684" s="2"/>
      <c r="H684" s="2"/>
      <c r="I684" s="2"/>
    </row>
    <row r="685" spans="1:9">
      <c r="A685" s="2"/>
      <c r="B685" s="2"/>
      <c r="C685" s="2"/>
      <c r="D685" s="2"/>
      <c r="E685" s="2"/>
      <c r="F685" s="2"/>
      <c r="G685" s="2"/>
      <c r="H685" s="2"/>
      <c r="I685" s="2"/>
    </row>
    <row r="686" spans="1:9">
      <c r="A686" s="2"/>
      <c r="B686" s="2"/>
      <c r="C686" s="2"/>
      <c r="D686" s="2"/>
      <c r="E686" s="2"/>
      <c r="F686" s="2"/>
      <c r="G686" s="2"/>
      <c r="H686" s="2"/>
      <c r="I686" s="2"/>
    </row>
    <row r="687" spans="1:9">
      <c r="A687" s="2"/>
      <c r="B687" s="2"/>
      <c r="C687" s="2"/>
      <c r="D687" s="2"/>
      <c r="E687" s="2"/>
      <c r="F687" s="2"/>
      <c r="G687" s="2"/>
      <c r="H687" s="2"/>
      <c r="I687" s="2"/>
    </row>
    <row r="688" spans="1:9">
      <c r="A688" s="2"/>
      <c r="B688" s="2"/>
      <c r="C688" s="2"/>
      <c r="D688" s="2"/>
      <c r="E688" s="2"/>
      <c r="F688" s="2"/>
      <c r="G688" s="2"/>
      <c r="H688" s="2"/>
      <c r="I688" s="2"/>
    </row>
    <row r="689" spans="1:9">
      <c r="A689" s="3"/>
      <c r="B689" s="3"/>
      <c r="C689" s="3"/>
      <c r="D689" s="3"/>
      <c r="E689" s="3"/>
      <c r="F689" s="3"/>
      <c r="G689" s="3"/>
      <c r="H689" s="3"/>
      <c r="I689" s="3"/>
    </row>
    <row r="691" spans="1:9">
      <c r="A691" s="4"/>
      <c r="B691" s="4"/>
      <c r="C691" s="4"/>
      <c r="D691" s="4"/>
      <c r="E691" s="4"/>
      <c r="F691" s="4"/>
      <c r="G691" s="4"/>
      <c r="H691" s="4"/>
      <c r="I691" s="4"/>
    </row>
    <row r="692" spans="1:9">
      <c r="A692" s="1"/>
    </row>
    <row r="693" spans="1:9">
      <c r="A693" s="2"/>
      <c r="B693" s="2"/>
      <c r="C693" s="2"/>
      <c r="D693" s="2"/>
      <c r="E693" s="2"/>
      <c r="F693" s="2"/>
      <c r="G693" s="2"/>
      <c r="H693" s="2"/>
      <c r="I693" s="2"/>
    </row>
    <row r="694" spans="1:9">
      <c r="A694" s="2"/>
      <c r="B694" s="2"/>
      <c r="C694" s="2"/>
      <c r="D694" s="2"/>
      <c r="E694" s="2"/>
      <c r="F694" s="2"/>
      <c r="G694" s="2"/>
      <c r="H694" s="2"/>
      <c r="I694" s="2"/>
    </row>
    <row r="695" spans="1:9">
      <c r="A695" s="2"/>
      <c r="B695" s="2"/>
      <c r="C695" s="2"/>
      <c r="D695" s="2"/>
      <c r="E695" s="2"/>
      <c r="F695" s="2"/>
      <c r="G695" s="2"/>
      <c r="H695" s="2"/>
      <c r="I695" s="2"/>
    </row>
    <row r="696" spans="1:9">
      <c r="A696" s="2"/>
      <c r="B696" s="2"/>
      <c r="C696" s="2"/>
      <c r="D696" s="2"/>
      <c r="E696" s="2"/>
      <c r="F696" s="2"/>
      <c r="G696" s="2"/>
      <c r="H696" s="2"/>
      <c r="I696" s="2"/>
    </row>
    <row r="697" spans="1:9">
      <c r="A697" s="2"/>
      <c r="B697" s="2"/>
      <c r="C697" s="2"/>
      <c r="D697" s="2"/>
      <c r="E697" s="2"/>
      <c r="F697" s="2"/>
      <c r="G697" s="2"/>
      <c r="H697" s="2"/>
      <c r="I697" s="2"/>
    </row>
    <row r="698" spans="1:9">
      <c r="A698" s="2"/>
      <c r="B698" s="2"/>
      <c r="C698" s="2"/>
      <c r="D698" s="2"/>
      <c r="E698" s="2"/>
      <c r="F698" s="2"/>
      <c r="G698" s="2"/>
      <c r="H698" s="2"/>
      <c r="I698" s="2"/>
    </row>
    <row r="699" spans="1:9">
      <c r="A699" s="3"/>
      <c r="B699" s="3"/>
      <c r="C699" s="3"/>
      <c r="D699" s="3"/>
      <c r="E699" s="3"/>
      <c r="F699" s="3"/>
      <c r="G699" s="3"/>
      <c r="H699" s="3"/>
      <c r="I699" s="3"/>
    </row>
    <row r="701" spans="1:9">
      <c r="A701" s="4"/>
      <c r="B701" s="4"/>
      <c r="C701" s="4"/>
      <c r="D701" s="4"/>
      <c r="E701" s="4"/>
      <c r="F701" s="4"/>
      <c r="G701" s="4"/>
      <c r="H701" s="4"/>
      <c r="I701" s="4"/>
    </row>
    <row r="702" spans="1:9">
      <c r="A702" s="1"/>
    </row>
    <row r="703" spans="1:9">
      <c r="A703" s="2"/>
      <c r="B703" s="2"/>
      <c r="C703" s="2"/>
      <c r="D703" s="2"/>
      <c r="E703" s="2"/>
      <c r="F703" s="2"/>
      <c r="G703" s="2"/>
      <c r="H703" s="2"/>
      <c r="I703" s="2"/>
    </row>
    <row r="704" spans="1:9">
      <c r="A704" s="2"/>
      <c r="B704" s="2"/>
      <c r="C704" s="2"/>
      <c r="D704" s="2"/>
      <c r="E704" s="2"/>
      <c r="F704" s="2"/>
      <c r="G704" s="2"/>
      <c r="H704" s="2"/>
      <c r="I704" s="2"/>
    </row>
    <row r="705" spans="1:9">
      <c r="A705" s="2"/>
      <c r="B705" s="2"/>
      <c r="C705" s="2"/>
      <c r="D705" s="2"/>
      <c r="E705" s="2"/>
      <c r="F705" s="2"/>
      <c r="G705" s="2"/>
      <c r="H705" s="2"/>
      <c r="I705" s="2"/>
    </row>
    <row r="706" spans="1:9">
      <c r="A706" s="2"/>
      <c r="B706" s="2"/>
      <c r="C706" s="2"/>
      <c r="D706" s="2"/>
      <c r="E706" s="2"/>
      <c r="F706" s="2"/>
      <c r="G706" s="2"/>
      <c r="H706" s="2"/>
      <c r="I706" s="2"/>
    </row>
    <row r="707" spans="1:9">
      <c r="A707" s="2"/>
      <c r="B707" s="2"/>
      <c r="C707" s="2"/>
      <c r="D707" s="2"/>
      <c r="E707" s="2"/>
      <c r="F707" s="2"/>
      <c r="G707" s="2"/>
      <c r="H707" s="2"/>
      <c r="I707" s="2"/>
    </row>
    <row r="708" spans="1:9">
      <c r="A708" s="2"/>
      <c r="B708" s="2"/>
      <c r="C708" s="2"/>
      <c r="D708" s="2"/>
      <c r="E708" s="2"/>
      <c r="F708" s="2"/>
      <c r="G708" s="2"/>
      <c r="H708" s="2"/>
      <c r="I708" s="2"/>
    </row>
    <row r="710" spans="1:9">
      <c r="A710" s="4"/>
      <c r="B710" s="4"/>
      <c r="C710" s="4"/>
      <c r="D710" s="4"/>
      <c r="E710" s="4"/>
      <c r="F710" s="4"/>
      <c r="G710" s="4"/>
      <c r="H710" s="4"/>
      <c r="I710" s="4"/>
    </row>
    <row r="711" spans="1:9">
      <c r="A711" s="4"/>
      <c r="B711" s="4"/>
      <c r="C711" s="4"/>
      <c r="D711" s="4"/>
      <c r="E711" s="4"/>
      <c r="F711" s="4"/>
      <c r="G711" s="4"/>
      <c r="H711" s="4"/>
      <c r="I711" s="4"/>
    </row>
    <row r="712" spans="1:9">
      <c r="A712" s="1"/>
    </row>
    <row r="713" spans="1:9">
      <c r="A713" s="2"/>
      <c r="B713" s="2"/>
      <c r="C713" s="2"/>
      <c r="D713" s="2"/>
      <c r="E713" s="2"/>
      <c r="F713" s="2"/>
      <c r="G713" s="2"/>
      <c r="H713" s="2"/>
      <c r="I713" s="2"/>
    </row>
    <row r="714" spans="1:9">
      <c r="A714" s="2"/>
      <c r="B714" s="2"/>
      <c r="C714" s="2"/>
      <c r="D714" s="2"/>
      <c r="E714" s="2"/>
      <c r="F714" s="2"/>
      <c r="G714" s="2"/>
      <c r="H714" s="2"/>
      <c r="I714" s="2"/>
    </row>
    <row r="715" spans="1:9">
      <c r="A715" s="2"/>
      <c r="B715" s="2"/>
      <c r="C715" s="2"/>
      <c r="D715" s="2"/>
      <c r="E715" s="2"/>
      <c r="F715" s="2"/>
      <c r="G715" s="2"/>
      <c r="H715" s="2"/>
      <c r="I715" s="2"/>
    </row>
    <row r="716" spans="1:9">
      <c r="A716" s="2"/>
      <c r="B716" s="2"/>
      <c r="C716" s="2"/>
      <c r="D716" s="2"/>
      <c r="E716" s="2"/>
      <c r="F716" s="2"/>
      <c r="G716" s="2"/>
      <c r="H716" s="2"/>
      <c r="I716" s="2"/>
    </row>
    <row r="717" spans="1:9">
      <c r="A717" s="2"/>
      <c r="B717" s="2"/>
      <c r="C717" s="2"/>
      <c r="D717" s="2"/>
      <c r="E717" s="2"/>
      <c r="F717" s="2"/>
      <c r="G717" s="2"/>
      <c r="H717" s="2"/>
      <c r="I717" s="2"/>
    </row>
    <row r="718" spans="1:9">
      <c r="A718" s="2"/>
      <c r="B718" s="2"/>
      <c r="C718" s="2"/>
      <c r="D718" s="2"/>
      <c r="E718" s="2"/>
      <c r="F718" s="2"/>
      <c r="G718" s="2"/>
      <c r="H718" s="2"/>
      <c r="I718" s="2"/>
    </row>
    <row r="719" spans="1:9">
      <c r="A719" s="3"/>
      <c r="B719" s="3"/>
      <c r="C719" s="3"/>
      <c r="D719" s="3"/>
      <c r="E719" s="3"/>
      <c r="F719" s="3"/>
      <c r="G719" s="3"/>
      <c r="H719" s="3"/>
      <c r="I719" s="3"/>
    </row>
    <row r="721" spans="1:9">
      <c r="A721" s="4"/>
      <c r="B721" s="4"/>
      <c r="C721" s="4"/>
      <c r="D721" s="4"/>
      <c r="E721" s="4"/>
      <c r="F721" s="4"/>
      <c r="G721" s="4"/>
      <c r="H721" s="4"/>
      <c r="I721" s="4"/>
    </row>
    <row r="722" spans="1:9">
      <c r="A722" s="1"/>
    </row>
    <row r="723" spans="1:9">
      <c r="A723" s="2"/>
      <c r="B723" s="2"/>
      <c r="C723" s="2"/>
      <c r="D723" s="2"/>
      <c r="E723" s="2"/>
      <c r="F723" s="2"/>
      <c r="G723" s="2"/>
      <c r="H723" s="2"/>
      <c r="I723" s="2"/>
    </row>
    <row r="724" spans="1:9">
      <c r="A724" s="2"/>
      <c r="B724" s="2"/>
      <c r="C724" s="2"/>
      <c r="D724" s="2"/>
      <c r="E724" s="2"/>
      <c r="F724" s="2"/>
      <c r="G724" s="2"/>
      <c r="H724" s="2"/>
      <c r="I724" s="2"/>
    </row>
    <row r="725" spans="1:9">
      <c r="A725" s="2"/>
      <c r="B725" s="2"/>
      <c r="C725" s="2"/>
      <c r="D725" s="2"/>
      <c r="E725" s="2"/>
      <c r="F725" s="2"/>
      <c r="G725" s="2"/>
      <c r="H725" s="2"/>
      <c r="I725" s="2"/>
    </row>
    <row r="726" spans="1:9">
      <c r="A726" s="2"/>
      <c r="B726" s="2"/>
      <c r="C726" s="2"/>
      <c r="D726" s="2"/>
      <c r="E726" s="2"/>
      <c r="F726" s="2"/>
      <c r="G726" s="2"/>
      <c r="H726" s="2"/>
      <c r="I726" s="2"/>
    </row>
    <row r="727" spans="1:9">
      <c r="A727" s="2"/>
      <c r="B727" s="2"/>
      <c r="C727" s="2"/>
      <c r="D727" s="2"/>
      <c r="E727" s="2"/>
      <c r="F727" s="2"/>
      <c r="G727" s="2"/>
      <c r="H727" s="2"/>
      <c r="I727" s="2"/>
    </row>
    <row r="728" spans="1:9">
      <c r="A728" s="2"/>
      <c r="B728" s="2"/>
      <c r="C728" s="2"/>
      <c r="D728" s="2"/>
      <c r="E728" s="2"/>
      <c r="F728" s="2"/>
      <c r="G728" s="2"/>
      <c r="H728" s="2"/>
      <c r="I728" s="2"/>
    </row>
    <row r="729" spans="1:9">
      <c r="A729" s="3"/>
      <c r="B729" s="3"/>
      <c r="C729" s="3"/>
      <c r="D729" s="3"/>
      <c r="E729" s="3"/>
      <c r="F729" s="3"/>
      <c r="G729" s="3"/>
      <c r="H729" s="3"/>
      <c r="I729" s="3"/>
    </row>
    <row r="731" spans="1:9">
      <c r="A731" s="4"/>
      <c r="B731" s="4"/>
      <c r="C731" s="4"/>
      <c r="D731" s="4"/>
      <c r="E731" s="4"/>
      <c r="F731" s="4"/>
      <c r="G731" s="4"/>
      <c r="H731" s="4"/>
      <c r="I731" s="4"/>
    </row>
    <row r="732" spans="1:9">
      <c r="A732" s="1"/>
    </row>
    <row r="733" spans="1:9">
      <c r="A733" s="2"/>
      <c r="B733" s="2"/>
      <c r="C733" s="2"/>
      <c r="D733" s="2"/>
      <c r="E733" s="2"/>
      <c r="F733" s="2"/>
      <c r="G733" s="2"/>
      <c r="H733" s="2"/>
      <c r="I733" s="2"/>
    </row>
    <row r="734" spans="1:9">
      <c r="A734" s="2"/>
      <c r="B734" s="2"/>
      <c r="C734" s="2"/>
      <c r="D734" s="2"/>
      <c r="E734" s="2"/>
      <c r="F734" s="2"/>
      <c r="G734" s="2"/>
      <c r="H734" s="2"/>
      <c r="I734" s="2"/>
    </row>
    <row r="735" spans="1:9">
      <c r="A735" s="2"/>
      <c r="B735" s="2"/>
      <c r="C735" s="2"/>
      <c r="D735" s="2"/>
      <c r="E735" s="2"/>
      <c r="F735" s="2"/>
      <c r="G735" s="2"/>
      <c r="H735" s="2"/>
      <c r="I735" s="2"/>
    </row>
    <row r="736" spans="1:9">
      <c r="A736" s="2"/>
      <c r="B736" s="2"/>
      <c r="C736" s="2"/>
      <c r="D736" s="2"/>
      <c r="E736" s="2"/>
      <c r="F736" s="2"/>
      <c r="G736" s="2"/>
      <c r="H736" s="2"/>
      <c r="I736" s="2"/>
    </row>
    <row r="737" spans="1:9">
      <c r="A737" s="2"/>
      <c r="B737" s="2"/>
      <c r="C737" s="2"/>
      <c r="D737" s="2"/>
      <c r="E737" s="2"/>
      <c r="F737" s="2"/>
      <c r="G737" s="2"/>
      <c r="H737" s="2"/>
      <c r="I737" s="2"/>
    </row>
    <row r="738" spans="1:9">
      <c r="A738" s="2"/>
      <c r="B738" s="2"/>
      <c r="C738" s="2"/>
      <c r="D738" s="2"/>
      <c r="E738" s="2"/>
      <c r="F738" s="2"/>
      <c r="G738" s="2"/>
      <c r="H738" s="2"/>
      <c r="I738" s="2"/>
    </row>
    <row r="740" spans="1:9">
      <c r="A740" s="4"/>
      <c r="B740" s="4"/>
      <c r="C740" s="4"/>
      <c r="D740" s="4"/>
      <c r="E740" s="4"/>
      <c r="F740" s="4"/>
      <c r="G740" s="4"/>
      <c r="H740" s="4"/>
      <c r="I740" s="4"/>
    </row>
    <row r="741" spans="1:9">
      <c r="A741" s="4"/>
      <c r="B741" s="4"/>
      <c r="C741" s="4"/>
      <c r="D741" s="4"/>
      <c r="E741" s="4"/>
      <c r="F741" s="4"/>
      <c r="G741" s="4"/>
      <c r="H741" s="4"/>
      <c r="I741" s="4"/>
    </row>
    <row r="742" spans="1:9">
      <c r="A742" s="1"/>
    </row>
    <row r="743" spans="1:9">
      <c r="A743" s="2"/>
      <c r="B743" s="2"/>
      <c r="C743" s="2"/>
      <c r="D743" s="2"/>
      <c r="E743" s="2"/>
      <c r="F743" s="2"/>
      <c r="G743" s="2"/>
      <c r="H743" s="2"/>
      <c r="I743" s="2"/>
    </row>
    <row r="744" spans="1:9">
      <c r="A744" s="2"/>
      <c r="B744" s="2"/>
      <c r="C744" s="2"/>
      <c r="D744" s="2"/>
      <c r="E744" s="2"/>
      <c r="F744" s="2"/>
      <c r="G744" s="2"/>
      <c r="H744" s="2"/>
      <c r="I744" s="2"/>
    </row>
    <row r="745" spans="1:9">
      <c r="A745" s="2"/>
      <c r="B745" s="2"/>
      <c r="C745" s="2"/>
      <c r="D745" s="2"/>
      <c r="E745" s="2"/>
      <c r="F745" s="2"/>
      <c r="G745" s="2"/>
      <c r="H745" s="2"/>
      <c r="I745" s="2"/>
    </row>
    <row r="746" spans="1:9">
      <c r="A746" s="2"/>
      <c r="B746" s="2"/>
      <c r="C746" s="2"/>
      <c r="D746" s="2"/>
      <c r="E746" s="2"/>
      <c r="F746" s="2"/>
      <c r="G746" s="2"/>
      <c r="H746" s="2"/>
      <c r="I746" s="2"/>
    </row>
    <row r="747" spans="1:9">
      <c r="A747" s="2"/>
      <c r="B747" s="2"/>
      <c r="C747" s="2"/>
      <c r="D747" s="2"/>
      <c r="E747" s="2"/>
      <c r="F747" s="2"/>
      <c r="G747" s="2"/>
      <c r="H747" s="2"/>
      <c r="I747" s="2"/>
    </row>
    <row r="748" spans="1:9">
      <c r="A748" s="2"/>
      <c r="B748" s="2"/>
      <c r="C748" s="2"/>
      <c r="D748" s="2"/>
      <c r="E748" s="2"/>
      <c r="F748" s="2"/>
      <c r="G748" s="2"/>
      <c r="H748" s="2"/>
      <c r="I748" s="2"/>
    </row>
    <row r="749" spans="1:9">
      <c r="A749" s="3"/>
      <c r="B749" s="3"/>
      <c r="C749" s="3"/>
      <c r="D749" s="3"/>
      <c r="E749" s="3"/>
      <c r="F749" s="3"/>
      <c r="G749" s="3"/>
      <c r="H749" s="3"/>
      <c r="I749" s="3"/>
    </row>
    <row r="751" spans="1:9">
      <c r="A751" s="4"/>
      <c r="B751" s="4"/>
      <c r="C751" s="4"/>
      <c r="D751" s="4"/>
      <c r="E751" s="4"/>
      <c r="F751" s="4"/>
      <c r="G751" s="4"/>
      <c r="H751" s="4"/>
      <c r="I751" s="4"/>
    </row>
    <row r="752" spans="1:9">
      <c r="A752" s="1"/>
    </row>
    <row r="753" spans="1:9">
      <c r="A753" s="2"/>
      <c r="B753" s="2"/>
      <c r="C753" s="2"/>
      <c r="D753" s="2"/>
      <c r="E753" s="2"/>
      <c r="F753" s="2"/>
      <c r="G753" s="2"/>
      <c r="H753" s="2"/>
      <c r="I753" s="2"/>
    </row>
    <row r="754" spans="1:9">
      <c r="A754" s="2"/>
      <c r="B754" s="2"/>
      <c r="C754" s="2"/>
      <c r="D754" s="2"/>
      <c r="E754" s="2"/>
      <c r="F754" s="2"/>
      <c r="G754" s="2"/>
      <c r="H754" s="2"/>
      <c r="I754" s="2"/>
    </row>
    <row r="755" spans="1:9">
      <c r="A755" s="2"/>
      <c r="B755" s="2"/>
      <c r="C755" s="2"/>
      <c r="D755" s="2"/>
      <c r="E755" s="2"/>
      <c r="F755" s="2"/>
      <c r="G755" s="2"/>
      <c r="H755" s="2"/>
      <c r="I755" s="2"/>
    </row>
    <row r="756" spans="1:9">
      <c r="A756" s="2"/>
      <c r="B756" s="2"/>
      <c r="C756" s="2"/>
      <c r="D756" s="2"/>
      <c r="E756" s="2"/>
      <c r="F756" s="2"/>
      <c r="G756" s="2"/>
      <c r="H756" s="2"/>
      <c r="I756" s="2"/>
    </row>
    <row r="757" spans="1:9">
      <c r="A757" s="2"/>
      <c r="B757" s="2"/>
      <c r="C757" s="2"/>
      <c r="D757" s="2"/>
      <c r="E757" s="2"/>
      <c r="F757" s="2"/>
      <c r="G757" s="2"/>
      <c r="H757" s="2"/>
      <c r="I757" s="2"/>
    </row>
    <row r="758" spans="1:9">
      <c r="A758" s="2"/>
      <c r="B758" s="2"/>
      <c r="C758" s="2"/>
      <c r="D758" s="2"/>
      <c r="E758" s="2"/>
      <c r="F758" s="2"/>
      <c r="G758" s="2"/>
      <c r="H758" s="2"/>
      <c r="I758" s="2"/>
    </row>
    <row r="759" spans="1:9">
      <c r="A759" s="3"/>
      <c r="B759" s="3"/>
      <c r="C759" s="3"/>
      <c r="D759" s="3"/>
      <c r="E759" s="3"/>
      <c r="F759" s="3"/>
      <c r="G759" s="3"/>
      <c r="H759" s="3"/>
      <c r="I759" s="3"/>
    </row>
    <row r="761" spans="1:9">
      <c r="A761" s="4"/>
      <c r="B761" s="4"/>
      <c r="C761" s="4"/>
      <c r="D761" s="4"/>
      <c r="E761" s="4"/>
      <c r="F761" s="4"/>
      <c r="G761" s="4"/>
      <c r="H761" s="4"/>
      <c r="I761" s="4"/>
    </row>
    <row r="762" spans="1:9">
      <c r="A762" s="1"/>
    </row>
    <row r="763" spans="1:9">
      <c r="A763" s="2"/>
      <c r="B763" s="2"/>
      <c r="C763" s="2"/>
      <c r="D763" s="2"/>
      <c r="E763" s="2"/>
      <c r="F763" s="2"/>
      <c r="G763" s="2"/>
      <c r="H763" s="2"/>
      <c r="I763" s="2"/>
    </row>
    <row r="764" spans="1:9">
      <c r="A764" s="2"/>
      <c r="B764" s="2"/>
      <c r="C764" s="2"/>
      <c r="D764" s="2"/>
      <c r="E764" s="2"/>
      <c r="F764" s="2"/>
      <c r="G764" s="2"/>
      <c r="H764" s="2"/>
      <c r="I764" s="2"/>
    </row>
    <row r="765" spans="1:9">
      <c r="A765" s="2"/>
      <c r="B765" s="2"/>
      <c r="C765" s="2"/>
      <c r="D765" s="2"/>
      <c r="E765" s="2"/>
      <c r="F765" s="2"/>
      <c r="G765" s="2"/>
      <c r="H765" s="2"/>
      <c r="I765" s="2"/>
    </row>
    <row r="766" spans="1:9">
      <c r="A766" s="2"/>
      <c r="B766" s="2"/>
      <c r="C766" s="2"/>
      <c r="D766" s="2"/>
      <c r="E766" s="2"/>
      <c r="F766" s="2"/>
      <c r="G766" s="2"/>
      <c r="H766" s="2"/>
      <c r="I766" s="2"/>
    </row>
    <row r="767" spans="1:9">
      <c r="A767" s="2"/>
      <c r="B767" s="2"/>
      <c r="C767" s="2"/>
      <c r="D767" s="2"/>
      <c r="E767" s="2"/>
      <c r="F767" s="2"/>
      <c r="G767" s="2"/>
      <c r="H767" s="2"/>
      <c r="I767" s="2"/>
    </row>
    <row r="768" spans="1:9">
      <c r="A768" s="2"/>
      <c r="B768" s="2"/>
      <c r="C768" s="2"/>
      <c r="D768" s="2"/>
      <c r="E768" s="2"/>
      <c r="F768" s="2"/>
      <c r="G768" s="2"/>
      <c r="H768" s="2"/>
      <c r="I768" s="2"/>
    </row>
    <row r="770" spans="1:9">
      <c r="A770" s="4"/>
      <c r="B770" s="4"/>
      <c r="C770" s="4"/>
      <c r="D770" s="4"/>
      <c r="E770" s="4"/>
      <c r="F770" s="4"/>
      <c r="G770" s="4"/>
      <c r="H770" s="4"/>
      <c r="I770" s="4"/>
    </row>
    <row r="771" spans="1:9">
      <c r="A771" s="4"/>
      <c r="B771" s="4"/>
      <c r="C771" s="4"/>
      <c r="D771" s="4"/>
      <c r="E771" s="4"/>
      <c r="F771" s="4"/>
      <c r="G771" s="4"/>
      <c r="H771" s="4"/>
      <c r="I771" s="4"/>
    </row>
    <row r="772" spans="1:9">
      <c r="A772" s="1"/>
    </row>
    <row r="773" spans="1:9">
      <c r="A773" s="2"/>
      <c r="B773" s="2"/>
      <c r="C773" s="2"/>
      <c r="D773" s="2"/>
      <c r="E773" s="2"/>
      <c r="F773" s="2"/>
      <c r="G773" s="2"/>
      <c r="H773" s="2"/>
      <c r="I773" s="2"/>
    </row>
    <row r="774" spans="1:9">
      <c r="A774" s="2"/>
      <c r="B774" s="2"/>
      <c r="C774" s="2"/>
      <c r="D774" s="2"/>
      <c r="E774" s="2"/>
      <c r="F774" s="2"/>
      <c r="G774" s="2"/>
      <c r="H774" s="2"/>
      <c r="I774" s="2"/>
    </row>
    <row r="775" spans="1:9">
      <c r="A775" s="2"/>
      <c r="B775" s="2"/>
      <c r="C775" s="2"/>
      <c r="D775" s="2"/>
      <c r="E775" s="2"/>
      <c r="F775" s="2"/>
      <c r="G775" s="2"/>
      <c r="H775" s="2"/>
      <c r="I775" s="2"/>
    </row>
    <row r="776" spans="1:9">
      <c r="A776" s="2"/>
      <c r="B776" s="2"/>
      <c r="C776" s="2"/>
      <c r="D776" s="2"/>
      <c r="E776" s="2"/>
      <c r="F776" s="2"/>
      <c r="G776" s="2"/>
      <c r="H776" s="2"/>
      <c r="I776" s="2"/>
    </row>
    <row r="777" spans="1:9">
      <c r="A777" s="2"/>
      <c r="B777" s="2"/>
      <c r="C777" s="2"/>
      <c r="D777" s="2"/>
      <c r="E777" s="2"/>
      <c r="F777" s="2"/>
      <c r="G777" s="2"/>
      <c r="H777" s="2"/>
      <c r="I777" s="2"/>
    </row>
    <row r="778" spans="1:9">
      <c r="A778" s="2"/>
      <c r="B778" s="2"/>
      <c r="C778" s="2"/>
      <c r="D778" s="2"/>
      <c r="E778" s="2"/>
      <c r="F778" s="2"/>
      <c r="G778" s="2"/>
      <c r="H778" s="2"/>
      <c r="I778" s="2"/>
    </row>
    <row r="779" spans="1:9">
      <c r="A779" s="3"/>
      <c r="B779" s="3"/>
      <c r="C779" s="3"/>
      <c r="D779" s="3"/>
      <c r="E779" s="3"/>
      <c r="F779" s="3"/>
      <c r="G779" s="3"/>
      <c r="H779" s="3"/>
      <c r="I779" s="3"/>
    </row>
    <row r="781" spans="1:9">
      <c r="A781" s="4"/>
      <c r="B781" s="4"/>
      <c r="C781" s="4"/>
      <c r="D781" s="4"/>
      <c r="E781" s="4"/>
      <c r="F781" s="4"/>
      <c r="G781" s="4"/>
      <c r="H781" s="4"/>
      <c r="I781" s="4"/>
    </row>
    <row r="782" spans="1:9">
      <c r="A782" s="1"/>
    </row>
    <row r="783" spans="1:9">
      <c r="A783" s="2"/>
      <c r="B783" s="2"/>
      <c r="C783" s="2"/>
      <c r="D783" s="2"/>
      <c r="E783" s="2"/>
      <c r="F783" s="2"/>
      <c r="G783" s="2"/>
      <c r="H783" s="2"/>
      <c r="I783" s="2"/>
    </row>
    <row r="784" spans="1:9">
      <c r="A784" s="2"/>
      <c r="B784" s="2"/>
      <c r="C784" s="2"/>
      <c r="D784" s="2"/>
      <c r="E784" s="2"/>
      <c r="F784" s="2"/>
      <c r="G784" s="2"/>
      <c r="H784" s="2"/>
      <c r="I784" s="2"/>
    </row>
    <row r="785" spans="1:9">
      <c r="A785" s="2"/>
      <c r="B785" s="2"/>
      <c r="C785" s="2"/>
      <c r="D785" s="2"/>
      <c r="E785" s="2"/>
      <c r="F785" s="2"/>
      <c r="G785" s="2"/>
      <c r="H785" s="2"/>
      <c r="I785" s="2"/>
    </row>
    <row r="786" spans="1:9">
      <c r="A786" s="2"/>
      <c r="B786" s="2"/>
      <c r="C786" s="2"/>
      <c r="D786" s="2"/>
      <c r="E786" s="2"/>
      <c r="F786" s="2"/>
      <c r="G786" s="2"/>
      <c r="H786" s="2"/>
      <c r="I786" s="2"/>
    </row>
    <row r="787" spans="1:9">
      <c r="A787" s="2"/>
      <c r="B787" s="2"/>
      <c r="C787" s="2"/>
      <c r="D787" s="2"/>
      <c r="E787" s="2"/>
      <c r="F787" s="2"/>
      <c r="G787" s="2"/>
      <c r="H787" s="2"/>
      <c r="I787" s="2"/>
    </row>
    <row r="788" spans="1:9">
      <c r="A788" s="2"/>
      <c r="B788" s="2"/>
      <c r="C788" s="2"/>
      <c r="D788" s="2"/>
      <c r="E788" s="2"/>
      <c r="F788" s="2"/>
      <c r="G788" s="2"/>
      <c r="H788" s="2"/>
      <c r="I788" s="2"/>
    </row>
    <row r="789" spans="1:9">
      <c r="A789" s="3"/>
      <c r="B789" s="3"/>
      <c r="C789" s="3"/>
      <c r="D789" s="3"/>
      <c r="E789" s="3"/>
      <c r="F789" s="3"/>
      <c r="G789" s="3"/>
      <c r="H789" s="3"/>
      <c r="I789" s="3"/>
    </row>
    <row r="791" spans="1:9">
      <c r="A791" s="4"/>
      <c r="B791" s="4"/>
      <c r="C791" s="4"/>
      <c r="D791" s="4"/>
      <c r="E791" s="4"/>
      <c r="F791" s="4"/>
      <c r="G791" s="4"/>
      <c r="H791" s="4"/>
      <c r="I791" s="4"/>
    </row>
    <row r="792" spans="1:9">
      <c r="A792" s="1"/>
    </row>
    <row r="793" spans="1:9">
      <c r="A793" s="2"/>
      <c r="B793" s="2"/>
      <c r="C793" s="2"/>
      <c r="D793" s="2"/>
      <c r="E793" s="2"/>
      <c r="F793" s="2"/>
      <c r="G793" s="2"/>
      <c r="H793" s="2"/>
      <c r="I793" s="2"/>
    </row>
    <row r="794" spans="1:9">
      <c r="A794" s="2"/>
      <c r="B794" s="2"/>
      <c r="C794" s="2"/>
      <c r="D794" s="2"/>
      <c r="E794" s="2"/>
      <c r="F794" s="2"/>
      <c r="G794" s="2"/>
      <c r="H794" s="2"/>
      <c r="I794" s="2"/>
    </row>
    <row r="795" spans="1:9">
      <c r="A795" s="2"/>
      <c r="B795" s="2"/>
      <c r="C795" s="2"/>
      <c r="D795" s="2"/>
      <c r="E795" s="2"/>
      <c r="F795" s="2"/>
      <c r="G795" s="2"/>
      <c r="H795" s="2"/>
      <c r="I795" s="2"/>
    </row>
    <row r="796" spans="1:9">
      <c r="A796" s="2"/>
      <c r="B796" s="2"/>
      <c r="C796" s="2"/>
      <c r="D796" s="2"/>
      <c r="E796" s="2"/>
      <c r="F796" s="2"/>
      <c r="G796" s="2"/>
      <c r="H796" s="2"/>
      <c r="I796" s="2"/>
    </row>
    <row r="797" spans="1:9">
      <c r="A797" s="2"/>
      <c r="B797" s="2"/>
      <c r="C797" s="2"/>
      <c r="D797" s="2"/>
      <c r="E797" s="2"/>
      <c r="F797" s="2"/>
      <c r="G797" s="2"/>
      <c r="H797" s="2"/>
      <c r="I797" s="2"/>
    </row>
    <row r="798" spans="1:9">
      <c r="A798" s="2"/>
      <c r="B798" s="2"/>
      <c r="C798" s="2"/>
      <c r="D798" s="2"/>
      <c r="E798" s="2"/>
      <c r="F798" s="2"/>
      <c r="G798" s="2"/>
      <c r="H798" s="2"/>
      <c r="I798" s="2"/>
    </row>
    <row r="800" spans="1:9">
      <c r="A800" s="4"/>
      <c r="B800" s="4"/>
      <c r="C800" s="4"/>
      <c r="D800" s="4"/>
      <c r="E800" s="4"/>
      <c r="F800" s="4"/>
      <c r="G800" s="4"/>
      <c r="H800" s="4"/>
      <c r="I800" s="4"/>
    </row>
    <row r="801" spans="1:9">
      <c r="A801" s="4"/>
      <c r="B801" s="4"/>
      <c r="C801" s="4"/>
      <c r="D801" s="4"/>
      <c r="E801" s="4"/>
      <c r="F801" s="4"/>
      <c r="G801" s="4"/>
      <c r="H801" s="4"/>
      <c r="I801" s="4"/>
    </row>
    <row r="802" spans="1:9">
      <c r="A802" s="1"/>
    </row>
    <row r="803" spans="1:9">
      <c r="A803" s="2"/>
      <c r="B803" s="2"/>
      <c r="C803" s="2"/>
      <c r="D803" s="2"/>
      <c r="E803" s="2"/>
      <c r="F803" s="2"/>
      <c r="G803" s="2"/>
      <c r="H803" s="2"/>
      <c r="I803" s="2"/>
    </row>
    <row r="804" spans="1:9">
      <c r="A804" s="2"/>
      <c r="B804" s="2"/>
      <c r="C804" s="2"/>
      <c r="D804" s="2"/>
      <c r="E804" s="2"/>
      <c r="F804" s="2"/>
      <c r="G804" s="2"/>
      <c r="H804" s="2"/>
      <c r="I804" s="2"/>
    </row>
    <row r="805" spans="1:9">
      <c r="A805" s="2"/>
      <c r="B805" s="2"/>
      <c r="C805" s="2"/>
      <c r="D805" s="2"/>
      <c r="E805" s="2"/>
      <c r="F805" s="2"/>
      <c r="G805" s="2"/>
      <c r="H805" s="2"/>
      <c r="I805" s="2"/>
    </row>
    <row r="806" spans="1:9">
      <c r="A806" s="2"/>
      <c r="B806" s="2"/>
      <c r="C806" s="2"/>
      <c r="D806" s="2"/>
      <c r="E806" s="2"/>
      <c r="F806" s="2"/>
      <c r="G806" s="2"/>
      <c r="H806" s="2"/>
      <c r="I806" s="2"/>
    </row>
    <row r="807" spans="1:9">
      <c r="A807" s="2"/>
      <c r="B807" s="2"/>
      <c r="C807" s="2"/>
      <c r="D807" s="2"/>
      <c r="E807" s="2"/>
      <c r="F807" s="2"/>
      <c r="G807" s="2"/>
      <c r="H807" s="2"/>
      <c r="I807" s="2"/>
    </row>
    <row r="808" spans="1:9">
      <c r="A808" s="2"/>
      <c r="B808" s="2"/>
      <c r="C808" s="2"/>
      <c r="D808" s="2"/>
      <c r="E808" s="2"/>
      <c r="F808" s="2"/>
      <c r="G808" s="2"/>
      <c r="H808" s="2"/>
      <c r="I808" s="2"/>
    </row>
    <row r="809" spans="1:9">
      <c r="A809" s="3"/>
      <c r="B809" s="3"/>
      <c r="C809" s="3"/>
      <c r="D809" s="3"/>
      <c r="E809" s="3"/>
      <c r="F809" s="3"/>
      <c r="G809" s="3"/>
      <c r="H809" s="3"/>
      <c r="I809" s="3"/>
    </row>
    <row r="811" spans="1:9">
      <c r="A811" s="4"/>
      <c r="B811" s="4"/>
      <c r="C811" s="4"/>
      <c r="D811" s="4"/>
      <c r="E811" s="4"/>
      <c r="F811" s="4"/>
      <c r="G811" s="4"/>
      <c r="H811" s="4"/>
      <c r="I811" s="4"/>
    </row>
    <row r="812" spans="1:9">
      <c r="A812" s="1"/>
    </row>
    <row r="813" spans="1:9">
      <c r="A813" s="2"/>
      <c r="B813" s="2"/>
      <c r="C813" s="2"/>
      <c r="D813" s="2"/>
      <c r="E813" s="2"/>
      <c r="F813" s="2"/>
      <c r="G813" s="2"/>
      <c r="H813" s="2"/>
      <c r="I813" s="2"/>
    </row>
    <row r="814" spans="1:9">
      <c r="A814" s="2"/>
      <c r="B814" s="2"/>
      <c r="C814" s="2"/>
      <c r="D814" s="2"/>
      <c r="E814" s="2"/>
      <c r="F814" s="2"/>
      <c r="G814" s="2"/>
      <c r="H814" s="2"/>
      <c r="I814" s="2"/>
    </row>
    <row r="815" spans="1:9">
      <c r="A815" s="2"/>
      <c r="B815" s="2"/>
      <c r="C815" s="2"/>
      <c r="D815" s="2"/>
      <c r="E815" s="2"/>
      <c r="F815" s="2"/>
      <c r="G815" s="2"/>
      <c r="H815" s="2"/>
      <c r="I815" s="2"/>
    </row>
    <row r="816" spans="1:9">
      <c r="A816" s="2"/>
      <c r="B816" s="2"/>
      <c r="C816" s="2"/>
      <c r="D816" s="2"/>
      <c r="E816" s="2"/>
      <c r="F816" s="2"/>
      <c r="G816" s="2"/>
      <c r="H816" s="2"/>
      <c r="I816" s="2"/>
    </row>
    <row r="817" spans="1:9">
      <c r="A817" s="2"/>
      <c r="B817" s="2"/>
      <c r="C817" s="2"/>
      <c r="D817" s="2"/>
      <c r="E817" s="2"/>
      <c r="F817" s="2"/>
      <c r="G817" s="2"/>
      <c r="H817" s="2"/>
      <c r="I817" s="2"/>
    </row>
    <row r="818" spans="1:9">
      <c r="A818" s="2"/>
      <c r="B818" s="2"/>
      <c r="C818" s="2"/>
      <c r="D818" s="2"/>
      <c r="E818" s="2"/>
      <c r="F818" s="2"/>
      <c r="G818" s="2"/>
      <c r="H818" s="2"/>
      <c r="I818" s="2"/>
    </row>
    <row r="819" spans="1:9">
      <c r="A819" s="3"/>
      <c r="B819" s="3"/>
      <c r="C819" s="3"/>
      <c r="D819" s="3"/>
      <c r="E819" s="3"/>
      <c r="F819" s="3"/>
      <c r="G819" s="3"/>
      <c r="H819" s="3"/>
      <c r="I819" s="3"/>
    </row>
    <row r="821" spans="1:9">
      <c r="A821" s="4"/>
      <c r="B821" s="4"/>
      <c r="C821" s="4"/>
      <c r="D821" s="4"/>
      <c r="E821" s="4"/>
      <c r="F821" s="4"/>
      <c r="G821" s="4"/>
      <c r="H821" s="4"/>
      <c r="I821" s="4"/>
    </row>
    <row r="822" spans="1:9">
      <c r="A822" s="1"/>
    </row>
    <row r="823" spans="1:9">
      <c r="A823" s="2"/>
      <c r="B823" s="2"/>
      <c r="C823" s="2"/>
      <c r="D823" s="2"/>
      <c r="E823" s="2"/>
      <c r="F823" s="2"/>
      <c r="G823" s="2"/>
      <c r="H823" s="2"/>
      <c r="I823" s="2"/>
    </row>
    <row r="824" spans="1:9">
      <c r="A824" s="2"/>
      <c r="B824" s="2"/>
      <c r="C824" s="2"/>
      <c r="D824" s="2"/>
      <c r="E824" s="2"/>
      <c r="F824" s="2"/>
      <c r="G824" s="2"/>
      <c r="H824" s="2"/>
      <c r="I824" s="2"/>
    </row>
    <row r="825" spans="1:9">
      <c r="A825" s="2"/>
      <c r="B825" s="2"/>
      <c r="C825" s="2"/>
      <c r="D825" s="2"/>
      <c r="E825" s="2"/>
      <c r="F825" s="2"/>
      <c r="G825" s="2"/>
      <c r="H825" s="2"/>
      <c r="I825" s="2"/>
    </row>
    <row r="826" spans="1:9">
      <c r="A826" s="2"/>
      <c r="B826" s="2"/>
      <c r="C826" s="2"/>
      <c r="D826" s="2"/>
      <c r="E826" s="2"/>
      <c r="F826" s="2"/>
      <c r="G826" s="2"/>
      <c r="H826" s="2"/>
      <c r="I826" s="2"/>
    </row>
    <row r="827" spans="1:9">
      <c r="A827" s="2"/>
      <c r="B827" s="2"/>
      <c r="C827" s="2"/>
      <c r="D827" s="2"/>
      <c r="E827" s="2"/>
      <c r="F827" s="2"/>
      <c r="G827" s="2"/>
      <c r="H827" s="2"/>
      <c r="I827" s="2"/>
    </row>
    <row r="828" spans="1:9">
      <c r="A828" s="2"/>
      <c r="B828" s="2"/>
      <c r="C828" s="2"/>
      <c r="D828" s="2"/>
      <c r="E828" s="2"/>
      <c r="F828" s="2"/>
      <c r="G828" s="2"/>
      <c r="H828" s="2"/>
      <c r="I828" s="2"/>
    </row>
    <row r="830" spans="1:9">
      <c r="A830" s="4"/>
      <c r="B830" s="4"/>
      <c r="C830" s="4"/>
      <c r="D830" s="4"/>
      <c r="E830" s="4"/>
      <c r="F830" s="4"/>
      <c r="G830" s="4"/>
      <c r="H830" s="4"/>
      <c r="I830" s="4"/>
    </row>
    <row r="831" spans="1:9">
      <c r="A831" s="4"/>
      <c r="B831" s="4"/>
      <c r="C831" s="4"/>
      <c r="D831" s="4"/>
      <c r="E831" s="4"/>
      <c r="F831" s="4"/>
      <c r="G831" s="4"/>
      <c r="H831" s="4"/>
      <c r="I831" s="4"/>
    </row>
    <row r="832" spans="1:9">
      <c r="A832" s="1"/>
    </row>
    <row r="833" spans="1:9">
      <c r="A833" s="2"/>
      <c r="B833" s="2"/>
      <c r="C833" s="2"/>
      <c r="D833" s="2"/>
      <c r="E833" s="2"/>
      <c r="F833" s="2"/>
      <c r="G833" s="2"/>
      <c r="H833" s="2"/>
      <c r="I833" s="2"/>
    </row>
    <row r="834" spans="1:9">
      <c r="A834" s="2"/>
      <c r="B834" s="2"/>
      <c r="C834" s="2"/>
      <c r="D834" s="2"/>
      <c r="E834" s="2"/>
      <c r="F834" s="2"/>
      <c r="G834" s="2"/>
      <c r="H834" s="2"/>
      <c r="I834" s="2"/>
    </row>
    <row r="835" spans="1:9">
      <c r="A835" s="2"/>
      <c r="B835" s="2"/>
      <c r="C835" s="2"/>
      <c r="D835" s="2"/>
      <c r="E835" s="2"/>
      <c r="F835" s="2"/>
      <c r="G835" s="2"/>
      <c r="H835" s="2"/>
      <c r="I835" s="2"/>
    </row>
    <row r="836" spans="1:9">
      <c r="A836" s="2"/>
      <c r="B836" s="2"/>
      <c r="C836" s="2"/>
      <c r="D836" s="2"/>
      <c r="E836" s="2"/>
      <c r="F836" s="2"/>
      <c r="G836" s="2"/>
      <c r="H836" s="2"/>
      <c r="I836" s="2"/>
    </row>
    <row r="837" spans="1:9">
      <c r="A837" s="2"/>
      <c r="B837" s="2"/>
      <c r="C837" s="2"/>
      <c r="D837" s="2"/>
      <c r="E837" s="2"/>
      <c r="F837" s="2"/>
      <c r="G837" s="2"/>
      <c r="H837" s="2"/>
      <c r="I837" s="2"/>
    </row>
    <row r="838" spans="1:9">
      <c r="A838" s="2"/>
      <c r="B838" s="2"/>
      <c r="C838" s="2"/>
      <c r="D838" s="2"/>
      <c r="E838" s="2"/>
      <c r="F838" s="2"/>
      <c r="G838" s="2"/>
      <c r="H838" s="2"/>
      <c r="I838" s="2"/>
    </row>
    <row r="839" spans="1:9">
      <c r="A839" s="3"/>
      <c r="B839" s="3"/>
      <c r="C839" s="3"/>
      <c r="D839" s="3"/>
      <c r="E839" s="3"/>
      <c r="F839" s="3"/>
      <c r="G839" s="3"/>
      <c r="H839" s="3"/>
      <c r="I839" s="3"/>
    </row>
    <row r="841" spans="1:9">
      <c r="A841" s="4"/>
      <c r="B841" s="4"/>
      <c r="C841" s="4"/>
      <c r="D841" s="4"/>
      <c r="E841" s="4"/>
      <c r="F841" s="4"/>
      <c r="G841" s="4"/>
      <c r="H841" s="4"/>
      <c r="I841" s="4"/>
    </row>
    <row r="842" spans="1:9">
      <c r="A842" s="1"/>
    </row>
    <row r="843" spans="1:9">
      <c r="A843" s="2"/>
      <c r="B843" s="2"/>
      <c r="C843" s="2"/>
      <c r="D843" s="2"/>
      <c r="E843" s="2"/>
      <c r="F843" s="2"/>
      <c r="G843" s="2"/>
      <c r="H843" s="2"/>
      <c r="I843" s="2"/>
    </row>
    <row r="844" spans="1:9">
      <c r="A844" s="2"/>
      <c r="B844" s="2"/>
      <c r="C844" s="2"/>
      <c r="D844" s="2"/>
      <c r="E844" s="2"/>
      <c r="F844" s="2"/>
      <c r="G844" s="2"/>
      <c r="H844" s="2"/>
      <c r="I844" s="2"/>
    </row>
    <row r="845" spans="1:9">
      <c r="A845" s="2"/>
      <c r="B845" s="2"/>
      <c r="C845" s="2"/>
      <c r="D845" s="2"/>
      <c r="E845" s="2"/>
      <c r="F845" s="2"/>
      <c r="G845" s="2"/>
      <c r="H845" s="2"/>
      <c r="I845" s="2"/>
    </row>
    <row r="846" spans="1:9">
      <c r="A846" s="2"/>
      <c r="B846" s="2"/>
      <c r="C846" s="2"/>
      <c r="D846" s="2"/>
      <c r="E846" s="2"/>
      <c r="F846" s="2"/>
      <c r="G846" s="2"/>
      <c r="H846" s="2"/>
      <c r="I846" s="2"/>
    </row>
    <row r="847" spans="1:9">
      <c r="A847" s="2"/>
      <c r="B847" s="2"/>
      <c r="C847" s="2"/>
      <c r="D847" s="2"/>
      <c r="E847" s="2"/>
      <c r="F847" s="2"/>
      <c r="G847" s="2"/>
      <c r="H847" s="2"/>
      <c r="I847" s="2"/>
    </row>
    <row r="848" spans="1:9">
      <c r="A848" s="2"/>
      <c r="B848" s="2"/>
      <c r="C848" s="2"/>
      <c r="D848" s="2"/>
      <c r="E848" s="2"/>
      <c r="F848" s="2"/>
      <c r="G848" s="2"/>
      <c r="H848" s="2"/>
      <c r="I848" s="2"/>
    </row>
    <row r="849" spans="1:9">
      <c r="A849" s="3"/>
      <c r="B849" s="3"/>
      <c r="C849" s="3"/>
      <c r="D849" s="3"/>
      <c r="E849" s="3"/>
      <c r="F849" s="3"/>
      <c r="G849" s="3"/>
      <c r="H849" s="3"/>
      <c r="I849" s="3"/>
    </row>
    <row r="851" spans="1:9">
      <c r="A851" s="4"/>
      <c r="B851" s="4"/>
      <c r="C851" s="4"/>
      <c r="D851" s="4"/>
      <c r="E851" s="4"/>
      <c r="F851" s="4"/>
      <c r="G851" s="4"/>
      <c r="H851" s="4"/>
      <c r="I851" s="4"/>
    </row>
    <row r="852" spans="1:9">
      <c r="A852" s="1"/>
    </row>
    <row r="853" spans="1:9">
      <c r="A853" s="2"/>
      <c r="B853" s="2"/>
      <c r="C853" s="2"/>
      <c r="D853" s="2"/>
      <c r="E853" s="2"/>
      <c r="F853" s="2"/>
      <c r="G853" s="2"/>
      <c r="H853" s="2"/>
      <c r="I853" s="2"/>
    </row>
    <row r="854" spans="1:9">
      <c r="A854" s="2"/>
      <c r="B854" s="2"/>
      <c r="C854" s="2"/>
      <c r="D854" s="2"/>
      <c r="E854" s="2"/>
      <c r="F854" s="2"/>
      <c r="G854" s="2"/>
      <c r="H854" s="2"/>
      <c r="I854" s="2"/>
    </row>
    <row r="855" spans="1:9">
      <c r="A855" s="2"/>
      <c r="B855" s="2"/>
      <c r="C855" s="2"/>
      <c r="D855" s="2"/>
      <c r="E855" s="2"/>
      <c r="F855" s="2"/>
      <c r="G855" s="2"/>
      <c r="H855" s="2"/>
      <c r="I855" s="2"/>
    </row>
    <row r="856" spans="1:9">
      <c r="A856" s="2"/>
      <c r="B856" s="2"/>
      <c r="C856" s="2"/>
      <c r="D856" s="2"/>
      <c r="E856" s="2"/>
      <c r="F856" s="2"/>
      <c r="G856" s="2"/>
      <c r="H856" s="2"/>
      <c r="I856" s="2"/>
    </row>
    <row r="857" spans="1:9">
      <c r="A857" s="2"/>
      <c r="B857" s="2"/>
      <c r="C857" s="2"/>
      <c r="D857" s="2"/>
      <c r="E857" s="2"/>
      <c r="F857" s="2"/>
      <c r="G857" s="2"/>
      <c r="H857" s="2"/>
      <c r="I857" s="2"/>
    </row>
    <row r="858" spans="1:9">
      <c r="A858" s="2"/>
      <c r="B858" s="2"/>
      <c r="C858" s="2"/>
      <c r="D858" s="2"/>
      <c r="E858" s="2"/>
      <c r="F858" s="2"/>
      <c r="G858" s="2"/>
      <c r="H858" s="2"/>
      <c r="I858" s="2"/>
    </row>
    <row r="860" spans="1:9">
      <c r="A860" s="4"/>
      <c r="B860" s="4"/>
      <c r="C860" s="4"/>
      <c r="D860" s="4"/>
      <c r="E860" s="4"/>
      <c r="F860" s="4"/>
      <c r="G860" s="4"/>
      <c r="H860" s="4"/>
      <c r="I860" s="4"/>
    </row>
    <row r="861" spans="1:9">
      <c r="A861" s="4"/>
      <c r="B861" s="4"/>
      <c r="C861" s="4"/>
      <c r="D861" s="4"/>
      <c r="E861" s="4"/>
      <c r="F861" s="4"/>
      <c r="G861" s="4"/>
      <c r="H861" s="4"/>
      <c r="I861" s="4"/>
    </row>
    <row r="862" spans="1:9">
      <c r="A862" s="1"/>
    </row>
    <row r="863" spans="1:9">
      <c r="A863" s="2"/>
      <c r="B863" s="2"/>
      <c r="C863" s="2"/>
      <c r="D863" s="2"/>
      <c r="E863" s="2"/>
      <c r="F863" s="2"/>
      <c r="G863" s="2"/>
      <c r="H863" s="2"/>
      <c r="I863" s="2"/>
    </row>
    <row r="864" spans="1:9">
      <c r="A864" s="2"/>
      <c r="B864" s="2"/>
      <c r="C864" s="2"/>
      <c r="D864" s="2"/>
      <c r="E864" s="2"/>
      <c r="F864" s="2"/>
      <c r="G864" s="2"/>
      <c r="H864" s="2"/>
      <c r="I864" s="2"/>
    </row>
    <row r="865" spans="1:9">
      <c r="A865" s="2"/>
      <c r="B865" s="2"/>
      <c r="C865" s="2"/>
      <c r="D865" s="2"/>
      <c r="E865" s="2"/>
      <c r="F865" s="2"/>
      <c r="G865" s="2"/>
      <c r="H865" s="2"/>
      <c r="I865" s="2"/>
    </row>
    <row r="866" spans="1:9">
      <c r="A866" s="2"/>
      <c r="B866" s="2"/>
      <c r="C866" s="2"/>
      <c r="D866" s="2"/>
      <c r="E866" s="2"/>
      <c r="F866" s="2"/>
      <c r="G866" s="2"/>
      <c r="H866" s="2"/>
      <c r="I866" s="2"/>
    </row>
    <row r="867" spans="1:9">
      <c r="A867" s="2"/>
      <c r="B867" s="2"/>
      <c r="C867" s="2"/>
      <c r="D867" s="2"/>
      <c r="E867" s="2"/>
      <c r="F867" s="2"/>
      <c r="G867" s="2"/>
      <c r="H867" s="2"/>
      <c r="I867" s="2"/>
    </row>
    <row r="868" spans="1:9">
      <c r="A868" s="2"/>
      <c r="B868" s="2"/>
      <c r="C868" s="2"/>
      <c r="D868" s="2"/>
      <c r="E868" s="2"/>
      <c r="F868" s="2"/>
      <c r="G868" s="2"/>
      <c r="H868" s="2"/>
      <c r="I868" s="2"/>
    </row>
    <row r="869" spans="1:9">
      <c r="A869" s="3"/>
      <c r="B869" s="3"/>
      <c r="C869" s="3"/>
      <c r="D869" s="3"/>
      <c r="E869" s="3"/>
      <c r="F869" s="3"/>
      <c r="G869" s="3"/>
      <c r="H869" s="3"/>
      <c r="I869" s="3"/>
    </row>
    <row r="871" spans="1:9">
      <c r="A871" s="4"/>
      <c r="B871" s="4"/>
      <c r="C871" s="4"/>
      <c r="D871" s="4"/>
      <c r="E871" s="4"/>
      <c r="F871" s="4"/>
      <c r="G871" s="4"/>
      <c r="H871" s="4"/>
      <c r="I871" s="4"/>
    </row>
    <row r="872" spans="1:9">
      <c r="A872" s="1"/>
    </row>
    <row r="873" spans="1:9">
      <c r="A873" s="2"/>
      <c r="B873" s="2"/>
      <c r="C873" s="2"/>
      <c r="D873" s="2"/>
      <c r="E873" s="2"/>
      <c r="F873" s="2"/>
      <c r="G873" s="2"/>
      <c r="H873" s="2"/>
      <c r="I873" s="2"/>
    </row>
    <row r="874" spans="1:9">
      <c r="A874" s="2"/>
      <c r="B874" s="2"/>
      <c r="C874" s="2"/>
      <c r="D874" s="2"/>
      <c r="E874" s="2"/>
      <c r="F874" s="2"/>
      <c r="G874" s="2"/>
      <c r="H874" s="2"/>
      <c r="I874" s="2"/>
    </row>
    <row r="875" spans="1:9">
      <c r="A875" s="2"/>
      <c r="B875" s="2"/>
      <c r="C875" s="2"/>
      <c r="D875" s="2"/>
      <c r="E875" s="2"/>
      <c r="F875" s="2"/>
      <c r="G875" s="2"/>
      <c r="H875" s="2"/>
      <c r="I875" s="2"/>
    </row>
    <row r="876" spans="1:9">
      <c r="A876" s="2"/>
      <c r="B876" s="2"/>
      <c r="C876" s="2"/>
      <c r="D876" s="2"/>
      <c r="E876" s="2"/>
      <c r="F876" s="2"/>
      <c r="G876" s="2"/>
      <c r="H876" s="2"/>
      <c r="I876" s="2"/>
    </row>
    <row r="877" spans="1:9">
      <c r="A877" s="2"/>
      <c r="B877" s="2"/>
      <c r="C877" s="2"/>
      <c r="D877" s="2"/>
      <c r="E877" s="2"/>
      <c r="F877" s="2"/>
      <c r="G877" s="2"/>
      <c r="H877" s="2"/>
      <c r="I877" s="2"/>
    </row>
    <row r="878" spans="1:9">
      <c r="A878" s="2"/>
      <c r="B878" s="2"/>
      <c r="C878" s="2"/>
      <c r="D878" s="2"/>
      <c r="E878" s="2"/>
      <c r="F878" s="2"/>
      <c r="G878" s="2"/>
      <c r="H878" s="2"/>
      <c r="I878" s="2"/>
    </row>
    <row r="879" spans="1:9">
      <c r="A879" s="3"/>
      <c r="B879" s="3"/>
      <c r="C879" s="3"/>
      <c r="D879" s="3"/>
      <c r="E879" s="3"/>
      <c r="F879" s="3"/>
      <c r="G879" s="3"/>
      <c r="H879" s="3"/>
      <c r="I879" s="3"/>
    </row>
    <row r="881" spans="1:9">
      <c r="A881" s="4"/>
      <c r="B881" s="4"/>
      <c r="C881" s="4"/>
      <c r="D881" s="4"/>
      <c r="E881" s="4"/>
      <c r="F881" s="4"/>
      <c r="G881" s="4"/>
      <c r="H881" s="4"/>
      <c r="I881" s="4"/>
    </row>
    <row r="882" spans="1:9">
      <c r="A882" s="1"/>
    </row>
    <row r="883" spans="1:9">
      <c r="A883" s="2"/>
      <c r="B883" s="2"/>
      <c r="C883" s="2"/>
      <c r="D883" s="2"/>
      <c r="E883" s="2"/>
      <c r="F883" s="2"/>
      <c r="G883" s="2"/>
      <c r="H883" s="2"/>
      <c r="I883" s="2"/>
    </row>
    <row r="884" spans="1:9">
      <c r="A884" s="2"/>
      <c r="B884" s="2"/>
      <c r="C884" s="2"/>
      <c r="D884" s="2"/>
      <c r="E884" s="2"/>
      <c r="F884" s="2"/>
      <c r="G884" s="2"/>
      <c r="H884" s="2"/>
      <c r="I884" s="2"/>
    </row>
    <row r="885" spans="1:9">
      <c r="A885" s="2"/>
      <c r="B885" s="2"/>
      <c r="C885" s="2"/>
      <c r="D885" s="2"/>
      <c r="E885" s="2"/>
      <c r="F885" s="2"/>
      <c r="G885" s="2"/>
      <c r="H885" s="2"/>
      <c r="I885" s="2"/>
    </row>
    <row r="886" spans="1:9">
      <c r="A886" s="2"/>
      <c r="B886" s="2"/>
      <c r="C886" s="2"/>
      <c r="D886" s="2"/>
      <c r="E886" s="2"/>
      <c r="F886" s="2"/>
      <c r="G886" s="2"/>
      <c r="H886" s="2"/>
      <c r="I886" s="2"/>
    </row>
    <row r="887" spans="1:9">
      <c r="A887" s="2"/>
      <c r="B887" s="2"/>
      <c r="C887" s="2"/>
      <c r="D887" s="2"/>
      <c r="E887" s="2"/>
      <c r="F887" s="2"/>
      <c r="G887" s="2"/>
      <c r="H887" s="2"/>
      <c r="I887" s="2"/>
    </row>
    <row r="888" spans="1:9">
      <c r="A888" s="2"/>
      <c r="B888" s="2"/>
      <c r="C888" s="2"/>
      <c r="D888" s="2"/>
      <c r="E888" s="2"/>
      <c r="F888" s="2"/>
      <c r="G888" s="2"/>
      <c r="H888" s="2"/>
      <c r="I888" s="2"/>
    </row>
    <row r="890" spans="1:9">
      <c r="A890" s="4"/>
      <c r="B890" s="4"/>
      <c r="C890" s="4"/>
      <c r="D890" s="4"/>
      <c r="E890" s="4"/>
      <c r="F890" s="4"/>
      <c r="G890" s="4"/>
      <c r="H890" s="4"/>
      <c r="I890" s="4"/>
    </row>
    <row r="891" spans="1:9">
      <c r="A891" s="4"/>
      <c r="B891" s="4"/>
      <c r="C891" s="4"/>
      <c r="D891" s="4"/>
      <c r="E891" s="4"/>
      <c r="F891" s="4"/>
      <c r="G891" s="4"/>
      <c r="H891" s="4"/>
      <c r="I891" s="4"/>
    </row>
    <row r="892" spans="1:9">
      <c r="A892" s="1"/>
    </row>
    <row r="893" spans="1:9">
      <c r="A893" s="2"/>
      <c r="B893" s="2"/>
      <c r="C893" s="2"/>
      <c r="D893" s="2"/>
      <c r="E893" s="2"/>
      <c r="F893" s="2"/>
      <c r="G893" s="2"/>
      <c r="H893" s="2"/>
      <c r="I893" s="2"/>
    </row>
    <row r="894" spans="1:9">
      <c r="A894" s="2"/>
      <c r="B894" s="2"/>
      <c r="C894" s="2"/>
      <c r="D894" s="2"/>
      <c r="E894" s="2"/>
      <c r="F894" s="2"/>
      <c r="G894" s="2"/>
      <c r="H894" s="2"/>
      <c r="I894" s="2"/>
    </row>
    <row r="895" spans="1:9">
      <c r="A895" s="2"/>
      <c r="B895" s="2"/>
      <c r="C895" s="2"/>
      <c r="D895" s="2"/>
      <c r="E895" s="2"/>
      <c r="F895" s="2"/>
      <c r="G895" s="2"/>
      <c r="H895" s="2"/>
      <c r="I895" s="2"/>
    </row>
    <row r="896" spans="1:9">
      <c r="A896" s="2"/>
      <c r="B896" s="2"/>
      <c r="C896" s="2"/>
      <c r="D896" s="2"/>
      <c r="E896" s="2"/>
      <c r="F896" s="2"/>
      <c r="G896" s="2"/>
      <c r="H896" s="2"/>
      <c r="I896" s="2"/>
    </row>
    <row r="897" spans="1:9">
      <c r="A897" s="2"/>
      <c r="B897" s="2"/>
      <c r="C897" s="2"/>
      <c r="D897" s="2"/>
      <c r="E897" s="2"/>
      <c r="F897" s="2"/>
      <c r="G897" s="2"/>
      <c r="H897" s="2"/>
      <c r="I897" s="2"/>
    </row>
    <row r="898" spans="1:9">
      <c r="A898" s="2"/>
      <c r="B898" s="2"/>
      <c r="C898" s="2"/>
      <c r="D898" s="2"/>
      <c r="E898" s="2"/>
      <c r="F898" s="2"/>
      <c r="G898" s="2"/>
      <c r="H898" s="2"/>
      <c r="I898" s="2"/>
    </row>
    <row r="899" spans="1:9">
      <c r="A899" s="3"/>
      <c r="B899" s="3"/>
      <c r="C899" s="3"/>
      <c r="D899" s="3"/>
      <c r="E899" s="3"/>
      <c r="F899" s="3"/>
      <c r="G899" s="3"/>
      <c r="H899" s="3"/>
      <c r="I899" s="3"/>
    </row>
    <row r="901" spans="1:9">
      <c r="A901" s="4"/>
      <c r="B901" s="4"/>
      <c r="C901" s="4"/>
      <c r="D901" s="4"/>
      <c r="E901" s="4"/>
      <c r="F901" s="4"/>
      <c r="G901" s="4"/>
      <c r="H901" s="4"/>
      <c r="I901" s="4"/>
    </row>
    <row r="902" spans="1:9">
      <c r="A902" s="1"/>
    </row>
    <row r="903" spans="1:9">
      <c r="A903" s="2"/>
      <c r="B903" s="2"/>
      <c r="C903" s="2"/>
      <c r="D903" s="2"/>
      <c r="E903" s="2"/>
      <c r="F903" s="2"/>
      <c r="G903" s="2"/>
      <c r="H903" s="2"/>
      <c r="I903" s="2"/>
    </row>
    <row r="904" spans="1:9">
      <c r="A904" s="2"/>
      <c r="B904" s="2"/>
      <c r="C904" s="2"/>
      <c r="D904" s="2"/>
      <c r="E904" s="2"/>
      <c r="F904" s="2"/>
      <c r="G904" s="2"/>
      <c r="H904" s="2"/>
      <c r="I904" s="2"/>
    </row>
    <row r="905" spans="1:9">
      <c r="A905" s="2"/>
      <c r="B905" s="2"/>
      <c r="C905" s="2"/>
      <c r="D905" s="2"/>
      <c r="E905" s="2"/>
      <c r="F905" s="2"/>
      <c r="G905" s="2"/>
      <c r="H905" s="2"/>
      <c r="I905" s="2"/>
    </row>
    <row r="906" spans="1:9">
      <c r="A906" s="2"/>
      <c r="B906" s="2"/>
      <c r="C906" s="2"/>
      <c r="D906" s="2"/>
      <c r="E906" s="2"/>
      <c r="F906" s="2"/>
      <c r="G906" s="2"/>
      <c r="H906" s="2"/>
      <c r="I906" s="2"/>
    </row>
    <row r="907" spans="1:9">
      <c r="A907" s="2"/>
      <c r="B907" s="2"/>
      <c r="C907" s="2"/>
      <c r="D907" s="2"/>
      <c r="E907" s="2"/>
      <c r="F907" s="2"/>
      <c r="G907" s="2"/>
      <c r="H907" s="2"/>
      <c r="I907" s="2"/>
    </row>
    <row r="908" spans="1:9">
      <c r="A908" s="2"/>
      <c r="B908" s="2"/>
      <c r="C908" s="2"/>
      <c r="D908" s="2"/>
      <c r="E908" s="2"/>
      <c r="F908" s="2"/>
      <c r="G908" s="2"/>
      <c r="H908" s="2"/>
      <c r="I908" s="2"/>
    </row>
    <row r="909" spans="1:9">
      <c r="A909" s="3"/>
      <c r="B909" s="3"/>
      <c r="C909" s="3"/>
      <c r="D909" s="3"/>
      <c r="E909" s="3"/>
      <c r="F909" s="3"/>
      <c r="G909" s="3"/>
      <c r="H909" s="3"/>
      <c r="I909" s="3"/>
    </row>
    <row r="911" spans="1:9">
      <c r="A911" s="4"/>
      <c r="B911" s="4"/>
      <c r="C911" s="4"/>
      <c r="D911" s="4"/>
      <c r="E911" s="4"/>
      <c r="F911" s="4"/>
      <c r="G911" s="4"/>
      <c r="H911" s="4"/>
      <c r="I911" s="4"/>
    </row>
    <row r="912" spans="1:9">
      <c r="A912" s="1"/>
    </row>
    <row r="913" spans="1:9">
      <c r="A913" s="2"/>
      <c r="B913" s="2"/>
      <c r="C913" s="2"/>
      <c r="D913" s="2"/>
      <c r="E913" s="2"/>
      <c r="F913" s="2"/>
      <c r="G913" s="2"/>
      <c r="H913" s="2"/>
      <c r="I913" s="2"/>
    </row>
    <row r="914" spans="1:9">
      <c r="A914" s="2"/>
      <c r="B914" s="2"/>
      <c r="C914" s="2"/>
      <c r="D914" s="2"/>
      <c r="E914" s="2"/>
      <c r="F914" s="2"/>
      <c r="G914" s="2"/>
      <c r="H914" s="2"/>
      <c r="I914" s="2"/>
    </row>
    <row r="915" spans="1:9">
      <c r="A915" s="2"/>
      <c r="B915" s="2"/>
      <c r="C915" s="2"/>
      <c r="D915" s="2"/>
      <c r="E915" s="2"/>
      <c r="F915" s="2"/>
      <c r="G915" s="2"/>
      <c r="H915" s="2"/>
      <c r="I915" s="2"/>
    </row>
    <row r="916" spans="1:9">
      <c r="A916" s="2"/>
      <c r="B916" s="2"/>
      <c r="C916" s="2"/>
      <c r="D916" s="2"/>
      <c r="E916" s="2"/>
      <c r="F916" s="2"/>
      <c r="G916" s="2"/>
      <c r="H916" s="2"/>
      <c r="I916" s="2"/>
    </row>
    <row r="917" spans="1:9">
      <c r="A917" s="2"/>
      <c r="B917" s="2"/>
      <c r="C917" s="2"/>
      <c r="D917" s="2"/>
      <c r="E917" s="2"/>
      <c r="F917" s="2"/>
      <c r="G917" s="2"/>
      <c r="H917" s="2"/>
      <c r="I917" s="2"/>
    </row>
    <row r="918" spans="1:9">
      <c r="A918" s="2"/>
      <c r="B918" s="2"/>
      <c r="C918" s="2"/>
      <c r="D918" s="2"/>
      <c r="E918" s="2"/>
      <c r="F918" s="2"/>
      <c r="G918" s="2"/>
      <c r="H918" s="2"/>
      <c r="I918" s="2"/>
    </row>
    <row r="920" spans="1:9">
      <c r="A920" s="4"/>
      <c r="B920" s="4"/>
      <c r="C920" s="4"/>
      <c r="D920" s="4"/>
      <c r="E920" s="4"/>
      <c r="F920" s="4"/>
      <c r="G920" s="4"/>
      <c r="H920" s="4"/>
      <c r="I920" s="4"/>
    </row>
    <row r="921" spans="1:9">
      <c r="A921" s="4"/>
      <c r="B921" s="4"/>
      <c r="C921" s="4"/>
      <c r="D921" s="4"/>
      <c r="E921" s="4"/>
      <c r="F921" s="4"/>
      <c r="G921" s="4"/>
      <c r="H921" s="4"/>
      <c r="I921" s="4"/>
    </row>
    <row r="922" spans="1:9">
      <c r="A922" s="1"/>
    </row>
    <row r="923" spans="1:9">
      <c r="A923" s="2"/>
      <c r="B923" s="2"/>
      <c r="C923" s="2"/>
      <c r="D923" s="2"/>
      <c r="E923" s="2"/>
      <c r="F923" s="2"/>
      <c r="G923" s="2"/>
      <c r="H923" s="2"/>
      <c r="I923" s="2"/>
    </row>
    <row r="924" spans="1:9">
      <c r="A924" s="2"/>
      <c r="B924" s="2"/>
      <c r="C924" s="2"/>
      <c r="D924" s="2"/>
      <c r="E924" s="2"/>
      <c r="F924" s="2"/>
      <c r="G924" s="2"/>
      <c r="H924" s="2"/>
      <c r="I924" s="2"/>
    </row>
    <row r="925" spans="1:9">
      <c r="A925" s="2"/>
      <c r="B925" s="2"/>
      <c r="C925" s="2"/>
      <c r="D925" s="2"/>
      <c r="E925" s="2"/>
      <c r="F925" s="2"/>
      <c r="G925" s="2"/>
      <c r="H925" s="2"/>
      <c r="I925" s="2"/>
    </row>
    <row r="926" spans="1:9">
      <c r="A926" s="2"/>
      <c r="B926" s="2"/>
      <c r="C926" s="2"/>
      <c r="D926" s="2"/>
      <c r="E926" s="2"/>
      <c r="F926" s="2"/>
      <c r="G926" s="2"/>
      <c r="H926" s="2"/>
      <c r="I926" s="2"/>
    </row>
    <row r="927" spans="1:9">
      <c r="A927" s="2"/>
      <c r="B927" s="2"/>
      <c r="C927" s="2"/>
      <c r="D927" s="2"/>
      <c r="E927" s="2"/>
      <c r="F927" s="2"/>
      <c r="G927" s="2"/>
      <c r="H927" s="2"/>
      <c r="I927" s="2"/>
    </row>
    <row r="928" spans="1:9">
      <c r="A928" s="2"/>
      <c r="B928" s="2"/>
      <c r="C928" s="2"/>
      <c r="D928" s="2"/>
      <c r="E928" s="2"/>
      <c r="F928" s="2"/>
      <c r="G928" s="2"/>
      <c r="H928" s="2"/>
      <c r="I928" s="2"/>
    </row>
    <row r="929" spans="1:9">
      <c r="A929" s="3"/>
      <c r="B929" s="3"/>
      <c r="C929" s="3"/>
      <c r="D929" s="3"/>
      <c r="E929" s="3"/>
      <c r="F929" s="3"/>
      <c r="G929" s="3"/>
      <c r="H929" s="3"/>
      <c r="I929" s="3"/>
    </row>
    <row r="931" spans="1:9">
      <c r="A931" s="4"/>
      <c r="B931" s="4"/>
      <c r="C931" s="4"/>
      <c r="D931" s="4"/>
      <c r="E931" s="4"/>
      <c r="F931" s="4"/>
      <c r="G931" s="4"/>
      <c r="H931" s="4"/>
      <c r="I931" s="4"/>
    </row>
    <row r="932" spans="1:9">
      <c r="A932" s="1"/>
    </row>
    <row r="933" spans="1:9">
      <c r="A933" s="2"/>
      <c r="B933" s="2"/>
      <c r="C933" s="2"/>
      <c r="D933" s="2"/>
      <c r="E933" s="2"/>
      <c r="F933" s="2"/>
      <c r="G933" s="2"/>
      <c r="H933" s="2"/>
      <c r="I933" s="2"/>
    </row>
    <row r="934" spans="1:9">
      <c r="A934" s="2"/>
      <c r="B934" s="2"/>
      <c r="C934" s="2"/>
      <c r="D934" s="2"/>
      <c r="E934" s="2"/>
      <c r="F934" s="2"/>
      <c r="G934" s="2"/>
      <c r="H934" s="2"/>
      <c r="I934" s="2"/>
    </row>
    <row r="935" spans="1:9">
      <c r="A935" s="2"/>
      <c r="B935" s="2"/>
      <c r="C935" s="2"/>
      <c r="D935" s="2"/>
      <c r="E935" s="2"/>
      <c r="F935" s="2"/>
      <c r="G935" s="2"/>
      <c r="H935" s="2"/>
      <c r="I935" s="2"/>
    </row>
    <row r="936" spans="1:9">
      <c r="A936" s="2"/>
      <c r="B936" s="2"/>
      <c r="C936" s="2"/>
      <c r="D936" s="2"/>
      <c r="E936" s="2"/>
      <c r="F936" s="2"/>
      <c r="G936" s="2"/>
      <c r="H936" s="2"/>
      <c r="I936" s="2"/>
    </row>
    <row r="937" spans="1:9">
      <c r="A937" s="2"/>
      <c r="B937" s="2"/>
      <c r="C937" s="2"/>
      <c r="D937" s="2"/>
      <c r="E937" s="2"/>
      <c r="F937" s="2"/>
      <c r="G937" s="2"/>
      <c r="H937" s="2"/>
      <c r="I937" s="2"/>
    </row>
    <row r="938" spans="1:9">
      <c r="A938" s="2"/>
      <c r="B938" s="2"/>
      <c r="C938" s="2"/>
      <c r="D938" s="2"/>
      <c r="E938" s="2"/>
      <c r="F938" s="2"/>
      <c r="G938" s="2"/>
      <c r="H938" s="2"/>
      <c r="I938" s="2"/>
    </row>
    <row r="939" spans="1:9">
      <c r="A939" s="3"/>
      <c r="B939" s="3"/>
      <c r="C939" s="3"/>
      <c r="D939" s="3"/>
      <c r="E939" s="3"/>
      <c r="F939" s="3"/>
      <c r="G939" s="3"/>
      <c r="H939" s="3"/>
      <c r="I939" s="3"/>
    </row>
    <row r="941" spans="1:9">
      <c r="A941" s="4"/>
      <c r="B941" s="4"/>
      <c r="C941" s="4"/>
      <c r="D941" s="4"/>
      <c r="E941" s="4"/>
      <c r="F941" s="4"/>
      <c r="G941" s="4"/>
      <c r="H941" s="4"/>
      <c r="I941" s="4"/>
    </row>
    <row r="942" spans="1:9">
      <c r="A942" s="1"/>
    </row>
    <row r="943" spans="1:9">
      <c r="A943" s="2"/>
      <c r="B943" s="2"/>
      <c r="C943" s="2"/>
      <c r="D943" s="2"/>
      <c r="E943" s="2"/>
      <c r="F943" s="2"/>
      <c r="G943" s="2"/>
      <c r="H943" s="2"/>
      <c r="I943" s="2"/>
    </row>
    <row r="944" spans="1:9">
      <c r="A944" s="2"/>
      <c r="B944" s="2"/>
      <c r="C944" s="2"/>
      <c r="D944" s="2"/>
      <c r="E944" s="2"/>
      <c r="F944" s="2"/>
      <c r="G944" s="2"/>
      <c r="H944" s="2"/>
      <c r="I944" s="2"/>
    </row>
    <row r="945" spans="1:9">
      <c r="A945" s="2"/>
      <c r="B945" s="2"/>
      <c r="C945" s="2"/>
      <c r="D945" s="2"/>
      <c r="E945" s="2"/>
      <c r="F945" s="2"/>
      <c r="G945" s="2"/>
      <c r="H945" s="2"/>
      <c r="I945" s="2"/>
    </row>
    <row r="946" spans="1:9">
      <c r="A946" s="2"/>
      <c r="B946" s="2"/>
      <c r="C946" s="2"/>
      <c r="D946" s="2"/>
      <c r="E946" s="2"/>
      <c r="F946" s="2"/>
      <c r="G946" s="2"/>
      <c r="H946" s="2"/>
      <c r="I946" s="2"/>
    </row>
    <row r="947" spans="1:9">
      <c r="A947" s="2"/>
      <c r="B947" s="2"/>
      <c r="C947" s="2"/>
      <c r="D947" s="2"/>
      <c r="E947" s="2"/>
      <c r="F947" s="2"/>
      <c r="G947" s="2"/>
      <c r="H947" s="2"/>
      <c r="I947" s="2"/>
    </row>
    <row r="948" spans="1:9">
      <c r="A948" s="2"/>
      <c r="B948" s="2"/>
      <c r="C948" s="2"/>
      <c r="D948" s="2"/>
      <c r="E948" s="2"/>
      <c r="F948" s="2"/>
      <c r="G948" s="2"/>
      <c r="H948" s="2"/>
      <c r="I948" s="2"/>
    </row>
    <row r="950" spans="1:9">
      <c r="A950" s="4"/>
      <c r="B950" s="4"/>
      <c r="C950" s="4"/>
      <c r="D950" s="4"/>
      <c r="E950" s="4"/>
      <c r="F950" s="4"/>
      <c r="G950" s="4"/>
      <c r="H950" s="4"/>
      <c r="I950" s="4"/>
    </row>
    <row r="951" spans="1:9">
      <c r="A951" s="4"/>
      <c r="B951" s="4"/>
      <c r="C951" s="4"/>
      <c r="D951" s="4"/>
      <c r="E951" s="4"/>
      <c r="F951" s="4"/>
      <c r="G951" s="4"/>
      <c r="H951" s="4"/>
      <c r="I951" s="4"/>
    </row>
    <row r="952" spans="1:9">
      <c r="A952" s="1"/>
    </row>
    <row r="953" spans="1:9">
      <c r="A953" s="2"/>
      <c r="B953" s="2"/>
      <c r="C953" s="2"/>
      <c r="D953" s="2"/>
      <c r="E953" s="2"/>
      <c r="F953" s="2"/>
      <c r="G953" s="2"/>
      <c r="H953" s="2"/>
      <c r="I953" s="2"/>
    </row>
    <row r="954" spans="1:9">
      <c r="A954" s="2"/>
      <c r="B954" s="2"/>
      <c r="C954" s="2"/>
      <c r="D954" s="2"/>
      <c r="E954" s="2"/>
      <c r="F954" s="2"/>
      <c r="G954" s="2"/>
      <c r="H954" s="2"/>
      <c r="I954" s="2"/>
    </row>
    <row r="955" spans="1:9">
      <c r="A955" s="2"/>
      <c r="B955" s="2"/>
      <c r="C955" s="2"/>
      <c r="D955" s="2"/>
      <c r="E955" s="2"/>
      <c r="F955" s="2"/>
      <c r="G955" s="2"/>
      <c r="H955" s="2"/>
      <c r="I955" s="2"/>
    </row>
    <row r="956" spans="1:9">
      <c r="A956" s="2"/>
      <c r="B956" s="2"/>
      <c r="C956" s="2"/>
      <c r="D956" s="2"/>
      <c r="E956" s="2"/>
      <c r="F956" s="2"/>
      <c r="G956" s="2"/>
      <c r="H956" s="2"/>
      <c r="I956" s="2"/>
    </row>
    <row r="957" spans="1:9">
      <c r="A957" s="2"/>
      <c r="B957" s="2"/>
      <c r="C957" s="2"/>
      <c r="D957" s="2"/>
      <c r="E957" s="2"/>
      <c r="F957" s="2"/>
      <c r="G957" s="2"/>
      <c r="H957" s="2"/>
      <c r="I957" s="2"/>
    </row>
    <row r="958" spans="1:9">
      <c r="A958" s="2"/>
      <c r="B958" s="2"/>
      <c r="C958" s="2"/>
      <c r="D958" s="2"/>
      <c r="E958" s="2"/>
      <c r="F958" s="2"/>
      <c r="G958" s="2"/>
      <c r="H958" s="2"/>
      <c r="I958" s="2"/>
    </row>
    <row r="959" spans="1:9">
      <c r="A959" s="3"/>
      <c r="B959" s="3"/>
      <c r="C959" s="3"/>
      <c r="D959" s="3"/>
      <c r="E959" s="3"/>
      <c r="F959" s="3"/>
      <c r="G959" s="3"/>
      <c r="H959" s="3"/>
      <c r="I959" s="3"/>
    </row>
    <row r="961" spans="1:9">
      <c r="A961" s="4"/>
      <c r="B961" s="4"/>
      <c r="C961" s="4"/>
      <c r="D961" s="4"/>
      <c r="E961" s="4"/>
      <c r="F961" s="4"/>
      <c r="G961" s="4"/>
      <c r="H961" s="4"/>
      <c r="I961" s="4"/>
    </row>
    <row r="962" spans="1:9">
      <c r="A962" s="1"/>
    </row>
    <row r="963" spans="1:9">
      <c r="A963" s="2"/>
      <c r="B963" s="2"/>
      <c r="C963" s="2"/>
      <c r="D963" s="2"/>
      <c r="E963" s="2"/>
      <c r="F963" s="2"/>
      <c r="G963" s="2"/>
      <c r="H963" s="2"/>
      <c r="I963" s="2"/>
    </row>
    <row r="964" spans="1:9">
      <c r="A964" s="2"/>
      <c r="B964" s="2"/>
      <c r="C964" s="2"/>
      <c r="D964" s="2"/>
      <c r="E964" s="2"/>
      <c r="F964" s="2"/>
      <c r="G964" s="2"/>
      <c r="H964" s="2"/>
      <c r="I964" s="2"/>
    </row>
    <row r="965" spans="1:9">
      <c r="A965" s="2"/>
      <c r="B965" s="2"/>
      <c r="C965" s="2"/>
      <c r="D965" s="2"/>
      <c r="E965" s="2"/>
      <c r="F965" s="2"/>
      <c r="G965" s="2"/>
      <c r="H965" s="2"/>
      <c r="I965" s="2"/>
    </row>
    <row r="966" spans="1:9">
      <c r="A966" s="2"/>
      <c r="B966" s="2"/>
      <c r="C966" s="2"/>
      <c r="D966" s="2"/>
      <c r="E966" s="2"/>
      <c r="F966" s="2"/>
      <c r="G966" s="2"/>
      <c r="H966" s="2"/>
      <c r="I966" s="2"/>
    </row>
    <row r="967" spans="1:9">
      <c r="A967" s="2"/>
      <c r="B967" s="2"/>
      <c r="C967" s="2"/>
      <c r="D967" s="2"/>
      <c r="E967" s="2"/>
      <c r="F967" s="2"/>
      <c r="G967" s="2"/>
      <c r="H967" s="2"/>
      <c r="I967" s="2"/>
    </row>
    <row r="968" spans="1:9">
      <c r="A968" s="2"/>
      <c r="B968" s="2"/>
      <c r="C968" s="2"/>
      <c r="D968" s="2"/>
      <c r="E968" s="2"/>
      <c r="F968" s="2"/>
      <c r="G968" s="2"/>
      <c r="H968" s="2"/>
      <c r="I968" s="2"/>
    </row>
    <row r="969" spans="1:9">
      <c r="A969" s="3"/>
      <c r="B969" s="3"/>
      <c r="C969" s="3"/>
      <c r="D969" s="3"/>
      <c r="E969" s="3"/>
      <c r="F969" s="3"/>
      <c r="G969" s="3"/>
      <c r="H969" s="3"/>
      <c r="I969" s="3"/>
    </row>
    <row r="971" spans="1:9">
      <c r="A971" s="4"/>
      <c r="B971" s="4"/>
      <c r="C971" s="4"/>
      <c r="D971" s="4"/>
      <c r="E971" s="4"/>
      <c r="F971" s="4"/>
      <c r="G971" s="4"/>
      <c r="H971" s="4"/>
      <c r="I971" s="4"/>
    </row>
    <row r="972" spans="1:9">
      <c r="A972" s="1"/>
    </row>
    <row r="973" spans="1:9">
      <c r="A973" s="2"/>
      <c r="B973" s="2"/>
      <c r="C973" s="2"/>
      <c r="D973" s="2"/>
      <c r="E973" s="2"/>
      <c r="F973" s="2"/>
      <c r="G973" s="2"/>
      <c r="H973" s="2"/>
      <c r="I973" s="2"/>
    </row>
    <row r="974" spans="1:9">
      <c r="A974" s="2"/>
      <c r="B974" s="2"/>
      <c r="C974" s="2"/>
      <c r="D974" s="2"/>
      <c r="E974" s="2"/>
      <c r="F974" s="2"/>
      <c r="G974" s="2"/>
      <c r="H974" s="2"/>
      <c r="I974" s="2"/>
    </row>
    <row r="975" spans="1:9">
      <c r="A975" s="2"/>
      <c r="B975" s="2"/>
      <c r="C975" s="2"/>
      <c r="D975" s="2"/>
      <c r="E975" s="2"/>
      <c r="F975" s="2"/>
      <c r="G975" s="2"/>
      <c r="H975" s="2"/>
      <c r="I975" s="2"/>
    </row>
    <row r="976" spans="1:9">
      <c r="A976" s="2"/>
      <c r="B976" s="2"/>
      <c r="C976" s="2"/>
      <c r="D976" s="2"/>
      <c r="E976" s="2"/>
      <c r="F976" s="2"/>
      <c r="G976" s="2"/>
      <c r="H976" s="2"/>
      <c r="I976" s="2"/>
    </row>
    <row r="977" spans="1:9">
      <c r="A977" s="2"/>
      <c r="B977" s="2"/>
      <c r="C977" s="2"/>
      <c r="D977" s="2"/>
      <c r="E977" s="2"/>
      <c r="F977" s="2"/>
      <c r="G977" s="2"/>
      <c r="H977" s="2"/>
      <c r="I977" s="2"/>
    </row>
    <row r="978" spans="1:9">
      <c r="A978" s="2"/>
      <c r="B978" s="2"/>
      <c r="C978" s="2"/>
      <c r="D978" s="2"/>
      <c r="E978" s="2"/>
      <c r="F978" s="2"/>
      <c r="G978" s="2"/>
      <c r="H978" s="2"/>
      <c r="I978" s="2"/>
    </row>
    <row r="980" spans="1:9">
      <c r="A980" s="4"/>
      <c r="B980" s="4"/>
      <c r="C980" s="4"/>
      <c r="D980" s="4"/>
      <c r="E980" s="4"/>
      <c r="F980" s="4"/>
      <c r="G980" s="4"/>
      <c r="H980" s="4"/>
      <c r="I980" s="4"/>
    </row>
    <row r="981" spans="1:9">
      <c r="A981" s="4"/>
      <c r="B981" s="4"/>
      <c r="C981" s="4"/>
      <c r="D981" s="4"/>
      <c r="E981" s="4"/>
      <c r="F981" s="4"/>
      <c r="G981" s="4"/>
      <c r="H981" s="4"/>
      <c r="I981" s="4"/>
    </row>
    <row r="982" spans="1:9">
      <c r="A982" s="1"/>
    </row>
    <row r="983" spans="1:9">
      <c r="A983" s="2"/>
      <c r="B983" s="2"/>
      <c r="C983" s="2"/>
      <c r="D983" s="2"/>
      <c r="E983" s="2"/>
      <c r="F983" s="2"/>
      <c r="G983" s="2"/>
      <c r="H983" s="2"/>
      <c r="I983" s="2"/>
    </row>
    <row r="984" spans="1:9">
      <c r="A984" s="2"/>
      <c r="B984" s="2"/>
      <c r="C984" s="2"/>
      <c r="D984" s="2"/>
      <c r="E984" s="2"/>
      <c r="F984" s="2"/>
      <c r="G984" s="2"/>
      <c r="H984" s="2"/>
      <c r="I984" s="2"/>
    </row>
    <row r="985" spans="1:9">
      <c r="A985" s="2"/>
      <c r="B985" s="2"/>
      <c r="C985" s="2"/>
      <c r="D985" s="2"/>
      <c r="E985" s="2"/>
      <c r="F985" s="2"/>
      <c r="G985" s="2"/>
      <c r="H985" s="2"/>
      <c r="I985" s="2"/>
    </row>
    <row r="986" spans="1:9">
      <c r="A986" s="2"/>
      <c r="B986" s="2"/>
      <c r="C986" s="2"/>
      <c r="D986" s="2"/>
      <c r="E986" s="2"/>
      <c r="F986" s="2"/>
      <c r="G986" s="2"/>
      <c r="H986" s="2"/>
      <c r="I986" s="2"/>
    </row>
    <row r="987" spans="1:9">
      <c r="A987" s="2"/>
      <c r="B987" s="2"/>
      <c r="C987" s="2"/>
      <c r="D987" s="2"/>
      <c r="E987" s="2"/>
      <c r="F987" s="2"/>
      <c r="G987" s="2"/>
      <c r="H987" s="2"/>
      <c r="I987" s="2"/>
    </row>
    <row r="988" spans="1:9">
      <c r="A988" s="2"/>
      <c r="B988" s="2"/>
      <c r="C988" s="2"/>
      <c r="D988" s="2"/>
      <c r="E988" s="2"/>
      <c r="F988" s="2"/>
      <c r="G988" s="2"/>
      <c r="H988" s="2"/>
      <c r="I988" s="2"/>
    </row>
    <row r="989" spans="1:9">
      <c r="A989" s="3"/>
      <c r="B989" s="3"/>
      <c r="C989" s="3"/>
      <c r="D989" s="3"/>
      <c r="E989" s="3"/>
      <c r="F989" s="3"/>
      <c r="G989" s="3"/>
      <c r="H989" s="3"/>
      <c r="I989" s="3"/>
    </row>
    <row r="991" spans="1:9">
      <c r="A991" s="4"/>
      <c r="B991" s="4"/>
      <c r="C991" s="4"/>
      <c r="D991" s="4"/>
      <c r="E991" s="4"/>
      <c r="F991" s="4"/>
      <c r="G991" s="4"/>
      <c r="H991" s="4"/>
      <c r="I991" s="4"/>
    </row>
    <row r="992" spans="1:9">
      <c r="A992" s="1"/>
    </row>
    <row r="993" spans="1:9">
      <c r="A993" s="2"/>
      <c r="B993" s="2"/>
      <c r="C993" s="2"/>
      <c r="D993" s="2"/>
      <c r="E993" s="2"/>
      <c r="F993" s="2"/>
      <c r="G993" s="2"/>
      <c r="H993" s="2"/>
      <c r="I993" s="2"/>
    </row>
    <row r="994" spans="1:9">
      <c r="A994" s="2"/>
      <c r="B994" s="2"/>
      <c r="C994" s="2"/>
      <c r="D994" s="2"/>
      <c r="E994" s="2"/>
      <c r="F994" s="2"/>
      <c r="G994" s="2"/>
      <c r="H994" s="2"/>
      <c r="I994" s="2"/>
    </row>
    <row r="995" spans="1:9">
      <c r="A995" s="2"/>
      <c r="B995" s="2"/>
      <c r="C995" s="2"/>
      <c r="D995" s="2"/>
      <c r="E995" s="2"/>
      <c r="F995" s="2"/>
      <c r="G995" s="2"/>
      <c r="H995" s="2"/>
      <c r="I995" s="2"/>
    </row>
    <row r="996" spans="1:9">
      <c r="A996" s="2"/>
      <c r="B996" s="2"/>
      <c r="C996" s="2"/>
      <c r="D996" s="2"/>
      <c r="E996" s="2"/>
      <c r="F996" s="2"/>
      <c r="G996" s="2"/>
      <c r="H996" s="2"/>
      <c r="I996" s="2"/>
    </row>
    <row r="997" spans="1:9">
      <c r="A997" s="2"/>
      <c r="B997" s="2"/>
      <c r="C997" s="2"/>
      <c r="D997" s="2"/>
      <c r="E997" s="2"/>
      <c r="F997" s="2"/>
      <c r="G997" s="2"/>
      <c r="H997" s="2"/>
      <c r="I997" s="2"/>
    </row>
    <row r="998" spans="1:9">
      <c r="A998" s="2"/>
      <c r="B998" s="2"/>
      <c r="C998" s="2"/>
      <c r="D998" s="2"/>
      <c r="E998" s="2"/>
      <c r="F998" s="2"/>
      <c r="G998" s="2"/>
      <c r="H998" s="2"/>
      <c r="I998" s="2"/>
    </row>
    <row r="999" spans="1:9">
      <c r="A999" s="3"/>
      <c r="B999" s="3"/>
      <c r="C999" s="3"/>
      <c r="D999" s="3"/>
      <c r="E999" s="3"/>
      <c r="F999" s="3"/>
      <c r="G999" s="3"/>
      <c r="H999" s="3"/>
      <c r="I999" s="3"/>
    </row>
    <row r="1001" spans="1:9">
      <c r="A1001" s="4"/>
      <c r="B1001" s="4"/>
      <c r="C1001" s="4"/>
      <c r="D1001" s="4"/>
      <c r="E1001" s="4"/>
      <c r="F1001" s="4"/>
      <c r="G1001" s="4"/>
      <c r="H1001" s="4"/>
      <c r="I1001" s="4"/>
    </row>
    <row r="1002" spans="1:9">
      <c r="A1002" s="1"/>
    </row>
    <row r="1003" spans="1:9">
      <c r="A1003" s="2"/>
      <c r="B1003" s="2"/>
      <c r="C1003" s="2"/>
      <c r="D1003" s="2"/>
      <c r="E1003" s="2"/>
      <c r="F1003" s="2"/>
      <c r="G1003" s="2"/>
      <c r="H1003" s="2"/>
      <c r="I1003" s="2"/>
    </row>
    <row r="1004" spans="1:9">
      <c r="A1004" s="2"/>
      <c r="B1004" s="2"/>
      <c r="C1004" s="2"/>
      <c r="D1004" s="2"/>
      <c r="E1004" s="2"/>
      <c r="F1004" s="2"/>
      <c r="G1004" s="2"/>
      <c r="H1004" s="2"/>
      <c r="I1004" s="2"/>
    </row>
    <row r="1005" spans="1:9">
      <c r="A1005" s="2"/>
      <c r="B1005" s="2"/>
      <c r="C1005" s="2"/>
      <c r="D1005" s="2"/>
      <c r="E1005" s="2"/>
      <c r="F1005" s="2"/>
      <c r="G1005" s="2"/>
      <c r="H1005" s="2"/>
      <c r="I1005" s="2"/>
    </row>
    <row r="1006" spans="1:9">
      <c r="A1006" s="2"/>
      <c r="B1006" s="2"/>
      <c r="C1006" s="2"/>
      <c r="D1006" s="2"/>
      <c r="E1006" s="2"/>
      <c r="F1006" s="2"/>
      <c r="G1006" s="2"/>
      <c r="H1006" s="2"/>
      <c r="I1006" s="2"/>
    </row>
    <row r="1007" spans="1:9">
      <c r="A1007" s="2"/>
      <c r="B1007" s="2"/>
      <c r="C1007" s="2"/>
      <c r="D1007" s="2"/>
      <c r="E1007" s="2"/>
      <c r="F1007" s="2"/>
      <c r="G1007" s="2"/>
      <c r="H1007" s="2"/>
      <c r="I1007" s="2"/>
    </row>
    <row r="1008" spans="1:9">
      <c r="A1008" s="2"/>
      <c r="B1008" s="2"/>
      <c r="C1008" s="2"/>
      <c r="D1008" s="2"/>
      <c r="E1008" s="2"/>
      <c r="F1008" s="2"/>
      <c r="G1008" s="2"/>
      <c r="H1008" s="2"/>
      <c r="I1008" s="2"/>
    </row>
    <row r="1010" spans="1:9">
      <c r="A1010" s="4"/>
      <c r="B1010" s="4"/>
      <c r="C1010" s="4"/>
      <c r="D1010" s="4"/>
      <c r="E1010" s="4"/>
      <c r="F1010" s="4"/>
      <c r="G1010" s="4"/>
      <c r="H1010" s="4"/>
      <c r="I1010" s="4"/>
    </row>
    <row r="1011" spans="1:9">
      <c r="A1011" s="4"/>
      <c r="B1011" s="4"/>
      <c r="C1011" s="4"/>
      <c r="D1011" s="4"/>
      <c r="E1011" s="4"/>
      <c r="F1011" s="4"/>
      <c r="G1011" s="4"/>
      <c r="H1011" s="4"/>
      <c r="I1011" s="4"/>
    </row>
    <row r="1012" spans="1:9">
      <c r="A1012" s="1"/>
    </row>
    <row r="1013" spans="1:9">
      <c r="A1013" s="2"/>
      <c r="B1013" s="2"/>
      <c r="C1013" s="2"/>
      <c r="D1013" s="2"/>
      <c r="E1013" s="2"/>
      <c r="F1013" s="2"/>
      <c r="G1013" s="2"/>
      <c r="H1013" s="2"/>
      <c r="I1013" s="2"/>
    </row>
    <row r="1014" spans="1:9">
      <c r="A1014" s="2"/>
      <c r="B1014" s="2"/>
      <c r="C1014" s="2"/>
      <c r="D1014" s="2"/>
      <c r="E1014" s="2"/>
      <c r="F1014" s="2"/>
      <c r="G1014" s="2"/>
      <c r="H1014" s="2"/>
      <c r="I1014" s="2"/>
    </row>
    <row r="1015" spans="1:9">
      <c r="A1015" s="2"/>
      <c r="B1015" s="2"/>
      <c r="C1015" s="2"/>
      <c r="D1015" s="2"/>
      <c r="E1015" s="2"/>
      <c r="F1015" s="2"/>
      <c r="G1015" s="2"/>
      <c r="H1015" s="2"/>
      <c r="I1015" s="2"/>
    </row>
    <row r="1016" spans="1:9">
      <c r="A1016" s="2"/>
      <c r="B1016" s="2"/>
      <c r="C1016" s="2"/>
      <c r="D1016" s="2"/>
      <c r="E1016" s="2"/>
      <c r="F1016" s="2"/>
      <c r="G1016" s="2"/>
      <c r="H1016" s="2"/>
      <c r="I1016" s="2"/>
    </row>
    <row r="1017" spans="1:9">
      <c r="A1017" s="2"/>
      <c r="B1017" s="2"/>
      <c r="C1017" s="2"/>
      <c r="D1017" s="2"/>
      <c r="E1017" s="2"/>
      <c r="F1017" s="2"/>
      <c r="G1017" s="2"/>
      <c r="H1017" s="2"/>
      <c r="I1017" s="2"/>
    </row>
    <row r="1018" spans="1:9">
      <c r="A1018" s="2"/>
      <c r="B1018" s="2"/>
      <c r="C1018" s="2"/>
      <c r="D1018" s="2"/>
      <c r="E1018" s="2"/>
      <c r="F1018" s="2"/>
      <c r="G1018" s="2"/>
      <c r="H1018" s="2"/>
      <c r="I1018" s="2"/>
    </row>
    <row r="1019" spans="1:9">
      <c r="A1019" s="3"/>
      <c r="B1019" s="3"/>
      <c r="C1019" s="3"/>
      <c r="D1019" s="3"/>
      <c r="E1019" s="3"/>
      <c r="F1019" s="3"/>
      <c r="G1019" s="3"/>
      <c r="H1019" s="3"/>
      <c r="I1019" s="3"/>
    </row>
    <row r="1021" spans="1:9">
      <c r="A1021" s="4"/>
      <c r="B1021" s="4"/>
      <c r="C1021" s="4"/>
      <c r="D1021" s="4"/>
      <c r="E1021" s="4"/>
      <c r="F1021" s="4"/>
      <c r="G1021" s="4"/>
      <c r="H1021" s="4"/>
      <c r="I1021" s="4"/>
    </row>
    <row r="1022" spans="1:9">
      <c r="A1022" s="1"/>
    </row>
    <row r="1023" spans="1:9">
      <c r="A1023" s="2"/>
      <c r="B1023" s="2"/>
      <c r="C1023" s="2"/>
      <c r="D1023" s="2"/>
      <c r="E1023" s="2"/>
      <c r="F1023" s="2"/>
      <c r="G1023" s="2"/>
      <c r="H1023" s="2"/>
      <c r="I1023" s="2"/>
    </row>
    <row r="1024" spans="1:9">
      <c r="A1024" s="2"/>
      <c r="B1024" s="2"/>
      <c r="C1024" s="2"/>
      <c r="D1024" s="2"/>
      <c r="E1024" s="2"/>
      <c r="F1024" s="2"/>
      <c r="G1024" s="2"/>
      <c r="H1024" s="2"/>
      <c r="I1024" s="2"/>
    </row>
    <row r="1025" spans="1:9">
      <c r="A1025" s="2"/>
      <c r="B1025" s="2"/>
      <c r="C1025" s="2"/>
      <c r="D1025" s="2"/>
      <c r="E1025" s="2"/>
      <c r="F1025" s="2"/>
      <c r="G1025" s="2"/>
      <c r="H1025" s="2"/>
      <c r="I1025" s="2"/>
    </row>
    <row r="1026" spans="1:9">
      <c r="A1026" s="2"/>
      <c r="B1026" s="2"/>
      <c r="C1026" s="2"/>
      <c r="D1026" s="2"/>
      <c r="E1026" s="2"/>
      <c r="F1026" s="2"/>
      <c r="G1026" s="2"/>
      <c r="H1026" s="2"/>
      <c r="I1026" s="2"/>
    </row>
    <row r="1027" spans="1:9">
      <c r="A1027" s="2"/>
      <c r="B1027" s="2"/>
      <c r="C1027" s="2"/>
      <c r="D1027" s="2"/>
      <c r="E1027" s="2"/>
      <c r="F1027" s="2"/>
      <c r="G1027" s="2"/>
      <c r="H1027" s="2"/>
      <c r="I1027" s="2"/>
    </row>
    <row r="1028" spans="1:9">
      <c r="A1028" s="2"/>
      <c r="B1028" s="2"/>
      <c r="C1028" s="2"/>
      <c r="D1028" s="2"/>
      <c r="E1028" s="2"/>
      <c r="F1028" s="2"/>
      <c r="G1028" s="2"/>
      <c r="H1028" s="2"/>
      <c r="I1028" s="2"/>
    </row>
    <row r="1029" spans="1:9">
      <c r="A1029" s="3"/>
      <c r="B1029" s="3"/>
      <c r="C1029" s="3"/>
      <c r="D1029" s="3"/>
      <c r="E1029" s="3"/>
      <c r="F1029" s="3"/>
      <c r="G1029" s="3"/>
      <c r="H1029" s="3"/>
      <c r="I1029" s="3"/>
    </row>
    <row r="1031" spans="1:9">
      <c r="A1031" s="4"/>
      <c r="B1031" s="4"/>
      <c r="C1031" s="4"/>
      <c r="D1031" s="4"/>
      <c r="E1031" s="4"/>
      <c r="F1031" s="4"/>
      <c r="G1031" s="4"/>
      <c r="H1031" s="4"/>
      <c r="I1031" s="4"/>
    </row>
    <row r="1032" spans="1:9">
      <c r="A1032" s="1"/>
    </row>
    <row r="1033" spans="1:9">
      <c r="A1033" s="2"/>
      <c r="B1033" s="2"/>
      <c r="C1033" s="2"/>
      <c r="D1033" s="2"/>
      <c r="E1033" s="2"/>
      <c r="F1033" s="2"/>
      <c r="G1033" s="2"/>
      <c r="H1033" s="2"/>
      <c r="I1033" s="2"/>
    </row>
    <row r="1034" spans="1:9">
      <c r="A1034" s="2"/>
      <c r="B1034" s="2"/>
      <c r="C1034" s="2"/>
      <c r="D1034" s="2"/>
      <c r="E1034" s="2"/>
      <c r="F1034" s="2"/>
      <c r="G1034" s="2"/>
      <c r="H1034" s="2"/>
      <c r="I1034" s="2"/>
    </row>
    <row r="1035" spans="1:9">
      <c r="A1035" s="2"/>
      <c r="B1035" s="2"/>
      <c r="C1035" s="2"/>
      <c r="D1035" s="2"/>
      <c r="E1035" s="2"/>
      <c r="F1035" s="2"/>
      <c r="G1035" s="2"/>
      <c r="H1035" s="2"/>
      <c r="I1035" s="2"/>
    </row>
    <row r="1036" spans="1:9">
      <c r="A1036" s="2"/>
      <c r="B1036" s="2"/>
      <c r="C1036" s="2"/>
      <c r="D1036" s="2"/>
      <c r="E1036" s="2"/>
      <c r="F1036" s="2"/>
      <c r="G1036" s="2"/>
      <c r="H1036" s="2"/>
      <c r="I1036" s="2"/>
    </row>
    <row r="1037" spans="1:9">
      <c r="A1037" s="2"/>
      <c r="B1037" s="2"/>
      <c r="C1037" s="2"/>
      <c r="D1037" s="2"/>
      <c r="E1037" s="2"/>
      <c r="F1037" s="2"/>
      <c r="G1037" s="2"/>
      <c r="H1037" s="2"/>
      <c r="I1037" s="2"/>
    </row>
    <row r="1038" spans="1:9">
      <c r="A1038" s="2"/>
      <c r="B1038" s="2"/>
      <c r="C1038" s="2"/>
      <c r="D1038" s="2"/>
      <c r="E1038" s="2"/>
      <c r="F1038" s="2"/>
      <c r="G1038" s="2"/>
      <c r="H1038" s="2"/>
      <c r="I1038" s="2"/>
    </row>
    <row r="1040" spans="1:9">
      <c r="A1040" s="4"/>
      <c r="B1040" s="4"/>
      <c r="C1040" s="4"/>
      <c r="D1040" s="4"/>
      <c r="E1040" s="4"/>
      <c r="F1040" s="4"/>
      <c r="G1040" s="4"/>
      <c r="H1040" s="4"/>
      <c r="I1040" s="4"/>
    </row>
    <row r="1041" spans="1:9">
      <c r="A1041" s="4"/>
      <c r="B1041" s="4"/>
      <c r="C1041" s="4"/>
      <c r="D1041" s="4"/>
      <c r="E1041" s="4"/>
      <c r="F1041" s="4"/>
      <c r="G1041" s="4"/>
      <c r="H1041" s="4"/>
      <c r="I1041" s="4"/>
    </row>
    <row r="1042" spans="1:9">
      <c r="A1042" s="1"/>
    </row>
    <row r="1043" spans="1:9">
      <c r="A1043" s="2"/>
      <c r="B1043" s="2"/>
      <c r="C1043" s="2"/>
      <c r="D1043" s="2"/>
      <c r="E1043" s="2"/>
      <c r="F1043" s="2"/>
      <c r="G1043" s="2"/>
      <c r="H1043" s="2"/>
      <c r="I1043" s="2"/>
    </row>
    <row r="1044" spans="1:9">
      <c r="A1044" s="2"/>
      <c r="B1044" s="2"/>
      <c r="C1044" s="2"/>
      <c r="D1044" s="2"/>
      <c r="E1044" s="2"/>
      <c r="F1044" s="2"/>
      <c r="G1044" s="2"/>
      <c r="H1044" s="2"/>
      <c r="I1044" s="2"/>
    </row>
    <row r="1045" spans="1:9">
      <c r="A1045" s="2"/>
      <c r="B1045" s="2"/>
      <c r="C1045" s="2"/>
      <c r="D1045" s="2"/>
      <c r="E1045" s="2"/>
      <c r="F1045" s="2"/>
      <c r="G1045" s="2"/>
      <c r="H1045" s="2"/>
      <c r="I1045" s="2"/>
    </row>
    <row r="1046" spans="1:9">
      <c r="A1046" s="2"/>
      <c r="B1046" s="2"/>
      <c r="C1046" s="2"/>
      <c r="D1046" s="2"/>
      <c r="E1046" s="2"/>
      <c r="F1046" s="2"/>
      <c r="G1046" s="2"/>
      <c r="H1046" s="2"/>
      <c r="I1046" s="2"/>
    </row>
    <row r="1047" spans="1:9">
      <c r="A1047" s="2"/>
      <c r="B1047" s="2"/>
      <c r="C1047" s="2"/>
      <c r="D1047" s="2"/>
      <c r="E1047" s="2"/>
      <c r="F1047" s="2"/>
      <c r="G1047" s="2"/>
      <c r="H1047" s="2"/>
      <c r="I1047" s="2"/>
    </row>
    <row r="1048" spans="1:9">
      <c r="A1048" s="2"/>
      <c r="B1048" s="2"/>
      <c r="C1048" s="2"/>
      <c r="D1048" s="2"/>
      <c r="E1048" s="2"/>
      <c r="F1048" s="2"/>
      <c r="G1048" s="2"/>
      <c r="H1048" s="2"/>
      <c r="I1048" s="2"/>
    </row>
    <row r="1049" spans="1:9">
      <c r="A1049" s="3"/>
      <c r="B1049" s="3"/>
      <c r="C1049" s="3"/>
      <c r="D1049" s="3"/>
      <c r="E1049" s="3"/>
      <c r="F1049" s="3"/>
      <c r="G1049" s="3"/>
      <c r="H1049" s="3"/>
      <c r="I1049" s="3"/>
    </row>
    <row r="1051" spans="1:9">
      <c r="A1051" s="4"/>
      <c r="B1051" s="4"/>
      <c r="C1051" s="4"/>
      <c r="D1051" s="4"/>
      <c r="E1051" s="4"/>
      <c r="F1051" s="4"/>
      <c r="G1051" s="4"/>
      <c r="H1051" s="4"/>
      <c r="I1051" s="4"/>
    </row>
    <row r="1052" spans="1:9">
      <c r="A1052" s="1"/>
    </row>
    <row r="1053" spans="1:9">
      <c r="A1053" s="2"/>
      <c r="B1053" s="2"/>
      <c r="C1053" s="2"/>
      <c r="D1053" s="2"/>
      <c r="E1053" s="2"/>
      <c r="F1053" s="2"/>
      <c r="G1053" s="2"/>
      <c r="H1053" s="2"/>
      <c r="I1053" s="2"/>
    </row>
    <row r="1054" spans="1:9">
      <c r="A1054" s="2"/>
      <c r="B1054" s="2"/>
      <c r="C1054" s="2"/>
      <c r="D1054" s="2"/>
      <c r="E1054" s="2"/>
      <c r="F1054" s="2"/>
      <c r="G1054" s="2"/>
      <c r="H1054" s="2"/>
      <c r="I1054" s="2"/>
    </row>
    <row r="1055" spans="1:9">
      <c r="A1055" s="2"/>
      <c r="B1055" s="2"/>
      <c r="C1055" s="2"/>
      <c r="D1055" s="2"/>
      <c r="E1055" s="2"/>
      <c r="F1055" s="2"/>
      <c r="G1055" s="2"/>
      <c r="H1055" s="2"/>
      <c r="I1055" s="2"/>
    </row>
    <row r="1056" spans="1:9">
      <c r="A1056" s="2"/>
      <c r="B1056" s="2"/>
      <c r="C1056" s="2"/>
      <c r="D1056" s="2"/>
      <c r="E1056" s="2"/>
      <c r="F1056" s="2"/>
      <c r="G1056" s="2"/>
      <c r="H1056" s="2"/>
      <c r="I1056" s="2"/>
    </row>
    <row r="1057" spans="1:9">
      <c r="A1057" s="2"/>
      <c r="B1057" s="2"/>
      <c r="C1057" s="2"/>
      <c r="D1057" s="2"/>
      <c r="E1057" s="2"/>
      <c r="F1057" s="2"/>
      <c r="G1057" s="2"/>
      <c r="H1057" s="2"/>
      <c r="I1057" s="2"/>
    </row>
    <row r="1058" spans="1:9">
      <c r="A1058" s="2"/>
      <c r="B1058" s="2"/>
      <c r="C1058" s="2"/>
      <c r="D1058" s="2"/>
      <c r="E1058" s="2"/>
      <c r="F1058" s="2"/>
      <c r="G1058" s="2"/>
      <c r="H1058" s="2"/>
      <c r="I1058" s="2"/>
    </row>
    <row r="1059" spans="1:9">
      <c r="A1059" s="3"/>
      <c r="B1059" s="3"/>
      <c r="C1059" s="3"/>
      <c r="D1059" s="3"/>
      <c r="E1059" s="3"/>
      <c r="F1059" s="3"/>
      <c r="G1059" s="3"/>
      <c r="H1059" s="3"/>
      <c r="I1059" s="3"/>
    </row>
    <row r="1061" spans="1:9">
      <c r="A1061" s="4"/>
      <c r="B1061" s="4"/>
      <c r="C1061" s="4"/>
      <c r="D1061" s="4"/>
      <c r="E1061" s="4"/>
      <c r="F1061" s="4"/>
      <c r="G1061" s="4"/>
      <c r="H1061" s="4"/>
      <c r="I1061" s="4"/>
    </row>
    <row r="1062" spans="1:9">
      <c r="A1062" s="1"/>
    </row>
    <row r="1063" spans="1:9">
      <c r="A1063" s="2"/>
      <c r="B1063" s="2"/>
      <c r="C1063" s="2"/>
      <c r="D1063" s="2"/>
      <c r="E1063" s="2"/>
      <c r="F1063" s="2"/>
      <c r="G1063" s="2"/>
      <c r="H1063" s="2"/>
      <c r="I1063" s="2"/>
    </row>
    <row r="1064" spans="1:9">
      <c r="A1064" s="2"/>
      <c r="B1064" s="2"/>
      <c r="C1064" s="2"/>
      <c r="D1064" s="2"/>
      <c r="E1064" s="2"/>
      <c r="F1064" s="2"/>
      <c r="G1064" s="2"/>
      <c r="H1064" s="2"/>
      <c r="I1064" s="2"/>
    </row>
    <row r="1065" spans="1:9">
      <c r="A1065" s="2"/>
      <c r="B1065" s="2"/>
      <c r="C1065" s="2"/>
      <c r="D1065" s="2"/>
      <c r="E1065" s="2"/>
      <c r="F1065" s="2"/>
      <c r="G1065" s="2"/>
      <c r="H1065" s="2"/>
      <c r="I1065" s="2"/>
    </row>
    <row r="1066" spans="1:9">
      <c r="A1066" s="2"/>
      <c r="B1066" s="2"/>
      <c r="C1066" s="2"/>
      <c r="D1066" s="2"/>
      <c r="E1066" s="2"/>
      <c r="F1066" s="2"/>
      <c r="G1066" s="2"/>
      <c r="H1066" s="2"/>
      <c r="I1066" s="2"/>
    </row>
    <row r="1067" spans="1:9">
      <c r="A1067" s="2"/>
      <c r="B1067" s="2"/>
      <c r="C1067" s="2"/>
      <c r="D1067" s="2"/>
      <c r="E1067" s="2"/>
      <c r="F1067" s="2"/>
      <c r="G1067" s="2"/>
      <c r="H1067" s="2"/>
      <c r="I1067" s="2"/>
    </row>
    <row r="1068" spans="1:9">
      <c r="A1068" s="2"/>
      <c r="B1068" s="2"/>
      <c r="C1068" s="2"/>
      <c r="D1068" s="2"/>
      <c r="E1068" s="2"/>
      <c r="F1068" s="2"/>
      <c r="G1068" s="2"/>
      <c r="H1068" s="2"/>
      <c r="I1068" s="2"/>
    </row>
    <row r="1070" spans="1:9">
      <c r="A1070" s="4"/>
      <c r="B1070" s="4"/>
      <c r="C1070" s="4"/>
      <c r="D1070" s="4"/>
      <c r="E1070" s="4"/>
      <c r="F1070" s="4"/>
      <c r="G1070" s="4"/>
      <c r="H1070" s="4"/>
      <c r="I1070" s="4"/>
    </row>
    <row r="1071" spans="1:9">
      <c r="A1071" s="4"/>
      <c r="B1071" s="4"/>
      <c r="C1071" s="4"/>
      <c r="D1071" s="4"/>
      <c r="E1071" s="4"/>
      <c r="F1071" s="4"/>
      <c r="G1071" s="4"/>
      <c r="H1071" s="4"/>
      <c r="I1071" s="4"/>
    </row>
    <row r="1072" spans="1:9">
      <c r="A1072" s="1"/>
    </row>
    <row r="1073" spans="1:9">
      <c r="A1073" s="2"/>
      <c r="B1073" s="2"/>
      <c r="C1073" s="2"/>
      <c r="D1073" s="2"/>
      <c r="E1073" s="2"/>
      <c r="F1073" s="2"/>
      <c r="G1073" s="2"/>
      <c r="H1073" s="2"/>
      <c r="I1073" s="2"/>
    </row>
    <row r="1074" spans="1:9">
      <c r="A1074" s="2"/>
      <c r="B1074" s="2"/>
      <c r="C1074" s="2"/>
      <c r="D1074" s="2"/>
      <c r="E1074" s="2"/>
      <c r="F1074" s="2"/>
      <c r="G1074" s="2"/>
      <c r="H1074" s="2"/>
      <c r="I1074" s="2"/>
    </row>
    <row r="1075" spans="1:9">
      <c r="A1075" s="2"/>
      <c r="B1075" s="2"/>
      <c r="C1075" s="2"/>
      <c r="D1075" s="2"/>
      <c r="E1075" s="2"/>
      <c r="F1075" s="2"/>
      <c r="G1075" s="2"/>
      <c r="H1075" s="2"/>
      <c r="I1075" s="2"/>
    </row>
    <row r="1076" spans="1:9">
      <c r="A1076" s="2"/>
      <c r="B1076" s="2"/>
      <c r="C1076" s="2"/>
      <c r="D1076" s="2"/>
      <c r="E1076" s="2"/>
      <c r="F1076" s="2"/>
      <c r="G1076" s="2"/>
      <c r="H1076" s="2"/>
      <c r="I1076" s="2"/>
    </row>
    <row r="1077" spans="1:9">
      <c r="A1077" s="2"/>
      <c r="B1077" s="2"/>
      <c r="C1077" s="2"/>
      <c r="D1077" s="2"/>
      <c r="E1077" s="2"/>
      <c r="F1077" s="2"/>
      <c r="G1077" s="2"/>
      <c r="H1077" s="2"/>
      <c r="I1077" s="2"/>
    </row>
    <row r="1078" spans="1:9">
      <c r="A1078" s="2"/>
      <c r="B1078" s="2"/>
      <c r="C1078" s="2"/>
      <c r="D1078" s="2"/>
      <c r="E1078" s="2"/>
      <c r="F1078" s="2"/>
      <c r="G1078" s="2"/>
      <c r="H1078" s="2"/>
      <c r="I1078" s="2"/>
    </row>
    <row r="1079" spans="1:9">
      <c r="A1079" s="3"/>
      <c r="B1079" s="3"/>
      <c r="C1079" s="3"/>
      <c r="D1079" s="3"/>
      <c r="E1079" s="3"/>
      <c r="F1079" s="3"/>
      <c r="G1079" s="3"/>
      <c r="H1079" s="3"/>
      <c r="I1079" s="3"/>
    </row>
    <row r="1081" spans="1:9">
      <c r="A1081" s="4"/>
      <c r="B1081" s="4"/>
      <c r="C1081" s="4"/>
      <c r="D1081" s="4"/>
      <c r="E1081" s="4"/>
      <c r="F1081" s="4"/>
      <c r="G1081" s="4"/>
      <c r="H1081" s="4"/>
      <c r="I1081" s="4"/>
    </row>
    <row r="1082" spans="1:9">
      <c r="A1082" s="1"/>
    </row>
    <row r="1083" spans="1:9">
      <c r="A1083" s="2"/>
      <c r="B1083" s="2"/>
      <c r="C1083" s="2"/>
      <c r="D1083" s="2"/>
      <c r="E1083" s="2"/>
      <c r="F1083" s="2"/>
      <c r="G1083" s="2"/>
      <c r="H1083" s="2"/>
      <c r="I1083" s="2"/>
    </row>
    <row r="1084" spans="1:9">
      <c r="A1084" s="2"/>
      <c r="B1084" s="2"/>
      <c r="C1084" s="2"/>
      <c r="D1084" s="2"/>
      <c r="E1084" s="2"/>
      <c r="F1084" s="2"/>
      <c r="G1084" s="2"/>
      <c r="H1084" s="2"/>
      <c r="I1084" s="2"/>
    </row>
    <row r="1085" spans="1:9">
      <c r="A1085" s="2"/>
      <c r="B1085" s="2"/>
      <c r="C1085" s="2"/>
      <c r="D1085" s="2"/>
      <c r="E1085" s="2"/>
      <c r="F1085" s="2"/>
      <c r="G1085" s="2"/>
      <c r="H1085" s="2"/>
      <c r="I1085" s="2"/>
    </row>
    <row r="1086" spans="1:9">
      <c r="A1086" s="2"/>
      <c r="B1086" s="2"/>
      <c r="C1086" s="2"/>
      <c r="D1086" s="2"/>
      <c r="E1086" s="2"/>
      <c r="F1086" s="2"/>
      <c r="G1086" s="2"/>
      <c r="H1086" s="2"/>
      <c r="I1086" s="2"/>
    </row>
    <row r="1087" spans="1:9">
      <c r="A1087" s="2"/>
      <c r="B1087" s="2"/>
      <c r="C1087" s="2"/>
      <c r="D1087" s="2"/>
      <c r="E1087" s="2"/>
      <c r="F1087" s="2"/>
      <c r="G1087" s="2"/>
      <c r="H1087" s="2"/>
      <c r="I1087" s="2"/>
    </row>
    <row r="1088" spans="1:9">
      <c r="A1088" s="2"/>
      <c r="B1088" s="2"/>
      <c r="C1088" s="2"/>
      <c r="D1088" s="2"/>
      <c r="E1088" s="2"/>
      <c r="F1088" s="2"/>
      <c r="G1088" s="2"/>
      <c r="H1088" s="2"/>
      <c r="I1088" s="2"/>
    </row>
    <row r="1089" spans="1:9">
      <c r="A1089" s="3"/>
      <c r="B1089" s="3"/>
      <c r="C1089" s="3"/>
      <c r="D1089" s="3"/>
      <c r="E1089" s="3"/>
      <c r="F1089" s="3"/>
      <c r="G1089" s="3"/>
      <c r="H1089" s="3"/>
      <c r="I1089" s="3"/>
    </row>
    <row r="1091" spans="1:9">
      <c r="A1091" s="4"/>
      <c r="B1091" s="4"/>
      <c r="C1091" s="4"/>
      <c r="D1091" s="4"/>
      <c r="E1091" s="4"/>
      <c r="F1091" s="4"/>
      <c r="G1091" s="4"/>
      <c r="H1091" s="4"/>
      <c r="I1091" s="4"/>
    </row>
    <row r="1092" spans="1:9">
      <c r="A1092" s="1"/>
    </row>
    <row r="1093" spans="1:9">
      <c r="A1093" s="2"/>
      <c r="B1093" s="2"/>
      <c r="C1093" s="2"/>
      <c r="D1093" s="2"/>
      <c r="E1093" s="2"/>
      <c r="F1093" s="2"/>
      <c r="G1093" s="2"/>
      <c r="H1093" s="2"/>
      <c r="I1093" s="2"/>
    </row>
    <row r="1094" spans="1:9">
      <c r="A1094" s="2"/>
      <c r="B1094" s="2"/>
      <c r="C1094" s="2"/>
      <c r="D1094" s="2"/>
      <c r="E1094" s="2"/>
      <c r="F1094" s="2"/>
      <c r="G1094" s="2"/>
      <c r="H1094" s="2"/>
      <c r="I1094" s="2"/>
    </row>
    <row r="1095" spans="1:9">
      <c r="A1095" s="2"/>
      <c r="B1095" s="2"/>
      <c r="C1095" s="2"/>
      <c r="D1095" s="2"/>
      <c r="E1095" s="2"/>
      <c r="F1095" s="2"/>
      <c r="G1095" s="2"/>
      <c r="H1095" s="2"/>
      <c r="I1095" s="2"/>
    </row>
    <row r="1096" spans="1:9">
      <c r="A1096" s="2"/>
      <c r="B1096" s="2"/>
      <c r="C1096" s="2"/>
      <c r="D1096" s="2"/>
      <c r="E1096" s="2"/>
      <c r="F1096" s="2"/>
      <c r="G1096" s="2"/>
      <c r="H1096" s="2"/>
      <c r="I1096" s="2"/>
    </row>
    <row r="1097" spans="1:9">
      <c r="A1097" s="2"/>
      <c r="B1097" s="2"/>
      <c r="C1097" s="2"/>
      <c r="D1097" s="2"/>
      <c r="E1097" s="2"/>
      <c r="F1097" s="2"/>
      <c r="G1097" s="2"/>
      <c r="H1097" s="2"/>
      <c r="I1097" s="2"/>
    </row>
    <row r="1098" spans="1:9">
      <c r="A1098" s="2"/>
      <c r="B1098" s="2"/>
      <c r="C1098" s="2"/>
      <c r="D1098" s="2"/>
      <c r="E1098" s="2"/>
      <c r="F1098" s="2"/>
      <c r="G1098" s="2"/>
      <c r="H1098" s="2"/>
      <c r="I1098" s="2"/>
    </row>
    <row r="1100" spans="1:9">
      <c r="A1100" s="4"/>
      <c r="B1100" s="4"/>
      <c r="C1100" s="4"/>
      <c r="D1100" s="4"/>
      <c r="E1100" s="4"/>
      <c r="F1100" s="4"/>
      <c r="G1100" s="4"/>
      <c r="H1100" s="4"/>
      <c r="I1100" s="4"/>
    </row>
    <row r="1101" spans="1:9">
      <c r="A1101" s="4"/>
      <c r="B1101" s="4"/>
      <c r="C1101" s="4"/>
      <c r="D1101" s="4"/>
      <c r="E1101" s="4"/>
      <c r="F1101" s="4"/>
      <c r="G1101" s="4"/>
      <c r="H1101" s="4"/>
      <c r="I1101" s="4"/>
    </row>
    <row r="1102" spans="1:9">
      <c r="A1102" s="1"/>
    </row>
    <row r="1103" spans="1:9">
      <c r="A1103" s="2"/>
      <c r="B1103" s="2"/>
      <c r="C1103" s="2"/>
      <c r="D1103" s="2"/>
      <c r="E1103" s="2"/>
      <c r="F1103" s="2"/>
      <c r="G1103" s="2"/>
      <c r="H1103" s="2"/>
      <c r="I1103" s="2"/>
    </row>
    <row r="1104" spans="1:9">
      <c r="A1104" s="2"/>
      <c r="B1104" s="2"/>
      <c r="C1104" s="2"/>
      <c r="D1104" s="2"/>
      <c r="E1104" s="2"/>
      <c r="F1104" s="2"/>
      <c r="G1104" s="2"/>
      <c r="H1104" s="2"/>
      <c r="I1104" s="2"/>
    </row>
    <row r="1105" spans="1:9">
      <c r="A1105" s="2"/>
      <c r="B1105" s="2"/>
      <c r="C1105" s="2"/>
      <c r="D1105" s="2"/>
      <c r="E1105" s="2"/>
      <c r="F1105" s="2"/>
      <c r="G1105" s="2"/>
      <c r="H1105" s="2"/>
      <c r="I1105" s="2"/>
    </row>
    <row r="1106" spans="1:9">
      <c r="A1106" s="2"/>
      <c r="B1106" s="2"/>
      <c r="C1106" s="2"/>
      <c r="D1106" s="2"/>
      <c r="E1106" s="2"/>
      <c r="F1106" s="2"/>
      <c r="G1106" s="2"/>
      <c r="H1106" s="2"/>
      <c r="I1106" s="2"/>
    </row>
    <row r="1107" spans="1:9">
      <c r="A1107" s="2"/>
      <c r="B1107" s="2"/>
      <c r="C1107" s="2"/>
      <c r="D1107" s="2"/>
      <c r="E1107" s="2"/>
      <c r="F1107" s="2"/>
      <c r="G1107" s="2"/>
      <c r="H1107" s="2"/>
      <c r="I1107" s="2"/>
    </row>
    <row r="1108" spans="1:9">
      <c r="A1108" s="2"/>
      <c r="B1108" s="2"/>
      <c r="C1108" s="2"/>
      <c r="D1108" s="2"/>
      <c r="E1108" s="2"/>
      <c r="F1108" s="2"/>
      <c r="G1108" s="2"/>
      <c r="H1108" s="2"/>
      <c r="I1108" s="2"/>
    </row>
    <row r="1109" spans="1:9">
      <c r="A1109" s="3"/>
      <c r="B1109" s="3"/>
      <c r="C1109" s="3"/>
      <c r="D1109" s="3"/>
      <c r="E1109" s="3"/>
      <c r="F1109" s="3"/>
      <c r="G1109" s="3"/>
      <c r="H1109" s="3"/>
      <c r="I1109" s="3"/>
    </row>
    <row r="1111" spans="1:9">
      <c r="A1111" s="4"/>
      <c r="B1111" s="4"/>
      <c r="C1111" s="4"/>
      <c r="D1111" s="4"/>
      <c r="E1111" s="4"/>
      <c r="F1111" s="4"/>
      <c r="G1111" s="4"/>
      <c r="H1111" s="4"/>
      <c r="I1111" s="4"/>
    </row>
    <row r="1112" spans="1:9">
      <c r="A1112" s="1"/>
    </row>
    <row r="1113" spans="1:9">
      <c r="A1113" s="2"/>
      <c r="B1113" s="2"/>
      <c r="C1113" s="2"/>
      <c r="D1113" s="2"/>
      <c r="E1113" s="2"/>
      <c r="F1113" s="2"/>
      <c r="G1113" s="2"/>
      <c r="H1113" s="2"/>
      <c r="I1113" s="2"/>
    </row>
    <row r="1114" spans="1:9">
      <c r="A1114" s="2"/>
      <c r="B1114" s="2"/>
      <c r="C1114" s="2"/>
      <c r="D1114" s="2"/>
      <c r="E1114" s="2"/>
      <c r="F1114" s="2"/>
      <c r="G1114" s="2"/>
      <c r="H1114" s="2"/>
      <c r="I1114" s="2"/>
    </row>
    <row r="1115" spans="1:9">
      <c r="A1115" s="2"/>
      <c r="B1115" s="2"/>
      <c r="C1115" s="2"/>
      <c r="D1115" s="2"/>
      <c r="E1115" s="2"/>
      <c r="F1115" s="2"/>
      <c r="G1115" s="2"/>
      <c r="H1115" s="2"/>
      <c r="I1115" s="2"/>
    </row>
    <row r="1116" spans="1:9">
      <c r="A1116" s="2"/>
      <c r="B1116" s="2"/>
      <c r="C1116" s="2"/>
      <c r="D1116" s="2"/>
      <c r="E1116" s="2"/>
      <c r="F1116" s="2"/>
      <c r="G1116" s="2"/>
      <c r="H1116" s="2"/>
      <c r="I1116" s="2"/>
    </row>
    <row r="1117" spans="1:9">
      <c r="A1117" s="2"/>
      <c r="B1117" s="2"/>
      <c r="C1117" s="2"/>
      <c r="D1117" s="2"/>
      <c r="E1117" s="2"/>
      <c r="F1117" s="2"/>
      <c r="G1117" s="2"/>
      <c r="H1117" s="2"/>
      <c r="I1117" s="2"/>
    </row>
    <row r="1118" spans="1:9">
      <c r="A1118" s="2"/>
      <c r="B1118" s="2"/>
      <c r="C1118" s="2"/>
      <c r="D1118" s="2"/>
      <c r="E1118" s="2"/>
      <c r="F1118" s="2"/>
      <c r="G1118" s="2"/>
      <c r="H1118" s="2"/>
      <c r="I1118" s="2"/>
    </row>
    <row r="1119" spans="1:9">
      <c r="A1119" s="3"/>
      <c r="B1119" s="3"/>
      <c r="C1119" s="3"/>
      <c r="D1119" s="3"/>
      <c r="E1119" s="3"/>
      <c r="F1119" s="3"/>
      <c r="G1119" s="3"/>
      <c r="H1119" s="3"/>
      <c r="I1119" s="3"/>
    </row>
    <row r="1121" spans="1:9">
      <c r="A1121" s="4"/>
      <c r="B1121" s="4"/>
      <c r="C1121" s="4"/>
      <c r="D1121" s="4"/>
      <c r="E1121" s="4"/>
      <c r="F1121" s="4"/>
      <c r="G1121" s="4"/>
      <c r="H1121" s="4"/>
      <c r="I1121" s="4"/>
    </row>
    <row r="1122" spans="1:9">
      <c r="A1122" s="1"/>
    </row>
    <row r="1123" spans="1:9">
      <c r="A1123" s="2"/>
      <c r="B1123" s="2"/>
      <c r="C1123" s="2"/>
      <c r="D1123" s="2"/>
      <c r="E1123" s="2"/>
      <c r="F1123" s="2"/>
      <c r="G1123" s="2"/>
      <c r="H1123" s="2"/>
      <c r="I1123" s="2"/>
    </row>
    <row r="1124" spans="1:9">
      <c r="A1124" s="2"/>
      <c r="B1124" s="2"/>
      <c r="C1124" s="2"/>
      <c r="D1124" s="2"/>
      <c r="E1124" s="2"/>
      <c r="F1124" s="2"/>
      <c r="G1124" s="2"/>
      <c r="H1124" s="2"/>
      <c r="I1124" s="2"/>
    </row>
    <row r="1125" spans="1:9">
      <c r="A1125" s="2"/>
      <c r="B1125" s="2"/>
      <c r="C1125" s="2"/>
      <c r="D1125" s="2"/>
      <c r="E1125" s="2"/>
      <c r="F1125" s="2"/>
      <c r="G1125" s="2"/>
      <c r="H1125" s="2"/>
      <c r="I1125" s="2"/>
    </row>
    <row r="1126" spans="1:9">
      <c r="A1126" s="2"/>
      <c r="B1126" s="2"/>
      <c r="C1126" s="2"/>
      <c r="D1126" s="2"/>
      <c r="E1126" s="2"/>
      <c r="F1126" s="2"/>
      <c r="G1126" s="2"/>
      <c r="H1126" s="2"/>
      <c r="I1126" s="2"/>
    </row>
    <row r="1127" spans="1:9">
      <c r="A1127" s="2"/>
      <c r="B1127" s="2"/>
      <c r="C1127" s="2"/>
      <c r="D1127" s="2"/>
      <c r="E1127" s="2"/>
      <c r="F1127" s="2"/>
      <c r="G1127" s="2"/>
      <c r="H1127" s="2"/>
      <c r="I1127" s="2"/>
    </row>
    <row r="1128" spans="1:9">
      <c r="A1128" s="2"/>
      <c r="B1128" s="2"/>
      <c r="C1128" s="2"/>
      <c r="D1128" s="2"/>
      <c r="E1128" s="2"/>
      <c r="F1128" s="2"/>
      <c r="G1128" s="2"/>
      <c r="H1128" s="2"/>
      <c r="I1128" s="2"/>
    </row>
    <row r="1130" spans="1:9">
      <c r="A1130" s="4"/>
      <c r="B1130" s="4"/>
      <c r="C1130" s="4"/>
      <c r="D1130" s="4"/>
      <c r="E1130" s="4"/>
      <c r="F1130" s="4"/>
      <c r="G1130" s="4"/>
      <c r="H1130" s="4"/>
      <c r="I1130" s="4"/>
    </row>
    <row r="1131" spans="1:9">
      <c r="A1131" s="4"/>
      <c r="B1131" s="4"/>
      <c r="C1131" s="4"/>
      <c r="D1131" s="4"/>
      <c r="E1131" s="4"/>
      <c r="F1131" s="4"/>
      <c r="G1131" s="4"/>
      <c r="H1131" s="4"/>
      <c r="I1131" s="4"/>
    </row>
    <row r="1132" spans="1:9">
      <c r="A1132" s="1"/>
    </row>
    <row r="1133" spans="1:9">
      <c r="A1133" s="2"/>
      <c r="B1133" s="2"/>
      <c r="C1133" s="2"/>
      <c r="D1133" s="2"/>
      <c r="E1133" s="2"/>
      <c r="F1133" s="2"/>
      <c r="G1133" s="2"/>
      <c r="H1133" s="2"/>
      <c r="I1133" s="2"/>
    </row>
    <row r="1134" spans="1:9">
      <c r="A1134" s="2"/>
      <c r="B1134" s="2"/>
      <c r="C1134" s="2"/>
      <c r="D1134" s="2"/>
      <c r="E1134" s="2"/>
      <c r="F1134" s="2"/>
      <c r="G1134" s="2"/>
      <c r="H1134" s="2"/>
      <c r="I1134" s="2"/>
    </row>
    <row r="1135" spans="1:9">
      <c r="A1135" s="2"/>
      <c r="B1135" s="2"/>
      <c r="C1135" s="2"/>
      <c r="D1135" s="2"/>
      <c r="E1135" s="2"/>
      <c r="F1135" s="2"/>
      <c r="G1135" s="2"/>
      <c r="H1135" s="2"/>
      <c r="I1135" s="2"/>
    </row>
    <row r="1136" spans="1:9">
      <c r="A1136" s="2"/>
      <c r="B1136" s="2"/>
      <c r="C1136" s="2"/>
      <c r="D1136" s="2"/>
      <c r="E1136" s="2"/>
      <c r="F1136" s="2"/>
      <c r="G1136" s="2"/>
      <c r="H1136" s="2"/>
      <c r="I1136" s="2"/>
    </row>
    <row r="1137" spans="1:9">
      <c r="A1137" s="2"/>
      <c r="B1137" s="2"/>
      <c r="C1137" s="2"/>
      <c r="D1137" s="2"/>
      <c r="E1137" s="2"/>
      <c r="F1137" s="2"/>
      <c r="G1137" s="2"/>
      <c r="H1137" s="2"/>
      <c r="I1137" s="2"/>
    </row>
    <row r="1138" spans="1:9">
      <c r="A1138" s="2"/>
      <c r="B1138" s="2"/>
      <c r="C1138" s="2"/>
      <c r="D1138" s="2"/>
      <c r="E1138" s="2"/>
      <c r="F1138" s="2"/>
      <c r="G1138" s="2"/>
      <c r="H1138" s="2"/>
      <c r="I1138" s="2"/>
    </row>
    <row r="1139" spans="1:9">
      <c r="A1139" s="3"/>
      <c r="B1139" s="3"/>
      <c r="C1139" s="3"/>
      <c r="D1139" s="3"/>
      <c r="E1139" s="3"/>
      <c r="F1139" s="3"/>
      <c r="G1139" s="3"/>
      <c r="H1139" s="3"/>
      <c r="I1139" s="3"/>
    </row>
    <row r="1141" spans="1:9">
      <c r="A1141" s="4"/>
      <c r="B1141" s="4"/>
      <c r="C1141" s="4"/>
      <c r="D1141" s="4"/>
      <c r="E1141" s="4"/>
      <c r="F1141" s="4"/>
      <c r="G1141" s="4"/>
      <c r="H1141" s="4"/>
      <c r="I1141" s="4"/>
    </row>
    <row r="1142" spans="1:9">
      <c r="A1142" s="1"/>
    </row>
    <row r="1143" spans="1:9">
      <c r="A1143" s="2"/>
      <c r="B1143" s="2"/>
      <c r="C1143" s="2"/>
      <c r="D1143" s="2"/>
      <c r="E1143" s="2"/>
      <c r="F1143" s="2"/>
      <c r="G1143" s="2"/>
      <c r="H1143" s="2"/>
      <c r="I1143" s="2"/>
    </row>
    <row r="1144" spans="1:9">
      <c r="A1144" s="2"/>
      <c r="B1144" s="2"/>
      <c r="C1144" s="2"/>
      <c r="D1144" s="2"/>
      <c r="E1144" s="2"/>
      <c r="F1144" s="2"/>
      <c r="G1144" s="2"/>
      <c r="H1144" s="2"/>
      <c r="I1144" s="2"/>
    </row>
    <row r="1145" spans="1:9">
      <c r="A1145" s="2"/>
      <c r="B1145" s="2"/>
      <c r="C1145" s="2"/>
      <c r="D1145" s="2"/>
      <c r="E1145" s="2"/>
      <c r="F1145" s="2"/>
      <c r="G1145" s="2"/>
      <c r="H1145" s="2"/>
      <c r="I1145" s="2"/>
    </row>
    <row r="1146" spans="1:9">
      <c r="A1146" s="2"/>
      <c r="B1146" s="2"/>
      <c r="C1146" s="2"/>
      <c r="D1146" s="2"/>
      <c r="E1146" s="2"/>
      <c r="F1146" s="2"/>
      <c r="G1146" s="2"/>
      <c r="H1146" s="2"/>
      <c r="I1146" s="2"/>
    </row>
    <row r="1147" spans="1:9">
      <c r="A1147" s="2"/>
      <c r="B1147" s="2"/>
      <c r="C1147" s="2"/>
      <c r="D1147" s="2"/>
      <c r="E1147" s="2"/>
      <c r="F1147" s="2"/>
      <c r="G1147" s="2"/>
      <c r="H1147" s="2"/>
      <c r="I1147" s="2"/>
    </row>
    <row r="1148" spans="1:9">
      <c r="A1148" s="2"/>
      <c r="B1148" s="2"/>
      <c r="C1148" s="2"/>
      <c r="D1148" s="2"/>
      <c r="E1148" s="2"/>
      <c r="F1148" s="2"/>
      <c r="G1148" s="2"/>
      <c r="H1148" s="2"/>
      <c r="I1148" s="2"/>
    </row>
    <row r="1149" spans="1:9">
      <c r="A1149" s="3"/>
      <c r="B1149" s="3"/>
      <c r="C1149" s="3"/>
      <c r="D1149" s="3"/>
      <c r="E1149" s="3"/>
      <c r="F1149" s="3"/>
      <c r="G1149" s="3"/>
      <c r="H1149" s="3"/>
      <c r="I1149" s="3"/>
    </row>
    <row r="1151" spans="1:9">
      <c r="A1151" s="4"/>
      <c r="B1151" s="4"/>
      <c r="C1151" s="4"/>
      <c r="D1151" s="4"/>
      <c r="E1151" s="4"/>
      <c r="F1151" s="4"/>
      <c r="G1151" s="4"/>
      <c r="H1151" s="4"/>
      <c r="I1151" s="4"/>
    </row>
    <row r="1152" spans="1:9">
      <c r="A1152" s="1"/>
    </row>
    <row r="1153" spans="1:9">
      <c r="A1153" s="2"/>
      <c r="B1153" s="2"/>
      <c r="C1153" s="2"/>
      <c r="D1153" s="2"/>
      <c r="E1153" s="2"/>
      <c r="F1153" s="2"/>
      <c r="G1153" s="2"/>
      <c r="H1153" s="2"/>
      <c r="I1153" s="2"/>
    </row>
    <row r="1154" spans="1:9">
      <c r="A1154" s="2"/>
      <c r="B1154" s="2"/>
      <c r="C1154" s="2"/>
      <c r="D1154" s="2"/>
      <c r="E1154" s="2"/>
      <c r="F1154" s="2"/>
      <c r="G1154" s="2"/>
      <c r="H1154" s="2"/>
      <c r="I1154" s="2"/>
    </row>
    <row r="1155" spans="1:9">
      <c r="A1155" s="2"/>
      <c r="B1155" s="2"/>
      <c r="C1155" s="2"/>
      <c r="D1155" s="2"/>
      <c r="E1155" s="2"/>
      <c r="F1155" s="2"/>
      <c r="G1155" s="2"/>
      <c r="H1155" s="2"/>
      <c r="I1155" s="2"/>
    </row>
    <row r="1156" spans="1:9">
      <c r="A1156" s="2"/>
      <c r="B1156" s="2"/>
      <c r="C1156" s="2"/>
      <c r="D1156" s="2"/>
      <c r="E1156" s="2"/>
      <c r="F1156" s="2"/>
      <c r="G1156" s="2"/>
      <c r="H1156" s="2"/>
      <c r="I1156" s="2"/>
    </row>
    <row r="1157" spans="1:9">
      <c r="A1157" s="2"/>
      <c r="B1157" s="2"/>
      <c r="C1157" s="2"/>
      <c r="D1157" s="2"/>
      <c r="E1157" s="2"/>
      <c r="F1157" s="2"/>
      <c r="G1157" s="2"/>
      <c r="H1157" s="2"/>
      <c r="I1157" s="2"/>
    </row>
    <row r="1158" spans="1:9">
      <c r="A1158" s="2"/>
      <c r="B1158" s="2"/>
      <c r="C1158" s="2"/>
      <c r="D1158" s="2"/>
      <c r="E1158" s="2"/>
      <c r="F1158" s="2"/>
      <c r="G1158" s="2"/>
      <c r="H1158" s="2"/>
      <c r="I1158" s="2"/>
    </row>
    <row r="1160" spans="1:9">
      <c r="A1160" s="4"/>
      <c r="B1160" s="4"/>
      <c r="C1160" s="4"/>
      <c r="D1160" s="4"/>
      <c r="E1160" s="4"/>
      <c r="F1160" s="4"/>
      <c r="G1160" s="4"/>
      <c r="H1160" s="4"/>
      <c r="I1160" s="4"/>
    </row>
    <row r="1161" spans="1:9">
      <c r="A1161" s="4"/>
      <c r="B1161" s="4"/>
      <c r="C1161" s="4"/>
      <c r="D1161" s="4"/>
      <c r="E1161" s="4"/>
      <c r="F1161" s="4"/>
      <c r="G1161" s="4"/>
      <c r="H1161" s="4"/>
      <c r="I1161" s="4"/>
    </row>
    <row r="1162" spans="1:9">
      <c r="A1162" s="1"/>
    </row>
    <row r="1163" spans="1:9">
      <c r="A1163" s="2"/>
      <c r="B1163" s="2"/>
      <c r="C1163" s="2"/>
      <c r="D1163" s="2"/>
      <c r="E1163" s="2"/>
      <c r="F1163" s="2"/>
      <c r="G1163" s="2"/>
      <c r="H1163" s="2"/>
      <c r="I1163" s="2"/>
    </row>
    <row r="1164" spans="1:9">
      <c r="A1164" s="2"/>
      <c r="B1164" s="2"/>
      <c r="C1164" s="2"/>
      <c r="D1164" s="2"/>
      <c r="E1164" s="2"/>
      <c r="F1164" s="2"/>
      <c r="G1164" s="2"/>
      <c r="H1164" s="2"/>
      <c r="I1164" s="2"/>
    </row>
    <row r="1165" spans="1:9">
      <c r="A1165" s="2"/>
      <c r="B1165" s="2"/>
      <c r="C1165" s="2"/>
      <c r="D1165" s="2"/>
      <c r="E1165" s="2"/>
      <c r="F1165" s="2"/>
      <c r="G1165" s="2"/>
      <c r="H1165" s="2"/>
      <c r="I1165" s="2"/>
    </row>
    <row r="1166" spans="1:9">
      <c r="A1166" s="2"/>
      <c r="B1166" s="2"/>
      <c r="C1166" s="2"/>
      <c r="D1166" s="2"/>
      <c r="E1166" s="2"/>
      <c r="F1166" s="2"/>
      <c r="G1166" s="2"/>
      <c r="H1166" s="2"/>
      <c r="I1166" s="2"/>
    </row>
    <row r="1167" spans="1:9">
      <c r="A1167" s="2"/>
      <c r="B1167" s="2"/>
      <c r="C1167" s="2"/>
      <c r="D1167" s="2"/>
      <c r="E1167" s="2"/>
      <c r="F1167" s="2"/>
      <c r="G1167" s="2"/>
      <c r="H1167" s="2"/>
      <c r="I1167" s="2"/>
    </row>
    <row r="1168" spans="1:9">
      <c r="A1168" s="2"/>
      <c r="B1168" s="2"/>
      <c r="C1168" s="2"/>
      <c r="D1168" s="2"/>
      <c r="E1168" s="2"/>
      <c r="F1168" s="2"/>
      <c r="G1168" s="2"/>
      <c r="H1168" s="2"/>
      <c r="I1168" s="2"/>
    </row>
    <row r="1169" spans="1:9">
      <c r="A1169" s="3"/>
      <c r="B1169" s="3"/>
      <c r="C1169" s="3"/>
      <c r="D1169" s="3"/>
      <c r="E1169" s="3"/>
      <c r="F1169" s="3"/>
      <c r="G1169" s="3"/>
      <c r="H1169" s="3"/>
      <c r="I1169" s="3"/>
    </row>
    <row r="1171" spans="1:9">
      <c r="A1171" s="4"/>
      <c r="B1171" s="4"/>
      <c r="C1171" s="4"/>
      <c r="D1171" s="4"/>
      <c r="E1171" s="4"/>
      <c r="F1171" s="4"/>
      <c r="G1171" s="4"/>
      <c r="H1171" s="4"/>
      <c r="I1171" s="4"/>
    </row>
    <row r="1172" spans="1:9">
      <c r="A1172" s="1"/>
    </row>
    <row r="1173" spans="1:9">
      <c r="A1173" s="2"/>
      <c r="B1173" s="2"/>
      <c r="C1173" s="2"/>
      <c r="D1173" s="2"/>
      <c r="E1173" s="2"/>
      <c r="F1173" s="2"/>
      <c r="G1173" s="2"/>
      <c r="H1173" s="2"/>
      <c r="I1173" s="2"/>
    </row>
    <row r="1174" spans="1:9">
      <c r="A1174" s="2"/>
      <c r="B1174" s="2"/>
      <c r="C1174" s="2"/>
      <c r="D1174" s="2"/>
      <c r="E1174" s="2"/>
      <c r="F1174" s="2"/>
      <c r="G1174" s="2"/>
      <c r="H1174" s="2"/>
      <c r="I1174" s="2"/>
    </row>
    <row r="1175" spans="1:9">
      <c r="A1175" s="2"/>
      <c r="B1175" s="2"/>
      <c r="C1175" s="2"/>
      <c r="D1175" s="2"/>
      <c r="E1175" s="2"/>
      <c r="F1175" s="2"/>
      <c r="G1175" s="2"/>
      <c r="H1175" s="2"/>
      <c r="I1175" s="2"/>
    </row>
    <row r="1176" spans="1:9">
      <c r="A1176" s="2"/>
      <c r="B1176" s="2"/>
      <c r="C1176" s="2"/>
      <c r="D1176" s="2"/>
      <c r="E1176" s="2"/>
      <c r="F1176" s="2"/>
      <c r="G1176" s="2"/>
      <c r="H1176" s="2"/>
      <c r="I1176" s="2"/>
    </row>
    <row r="1177" spans="1:9">
      <c r="A1177" s="2"/>
      <c r="B1177" s="2"/>
      <c r="C1177" s="2"/>
      <c r="D1177" s="2"/>
      <c r="E1177" s="2"/>
      <c r="F1177" s="2"/>
      <c r="G1177" s="2"/>
      <c r="H1177" s="2"/>
      <c r="I1177" s="2"/>
    </row>
    <row r="1178" spans="1:9">
      <c r="A1178" s="2"/>
      <c r="B1178" s="2"/>
      <c r="C1178" s="2"/>
      <c r="D1178" s="2"/>
      <c r="E1178" s="2"/>
      <c r="F1178" s="2"/>
      <c r="G1178" s="2"/>
      <c r="H1178" s="2"/>
      <c r="I1178" s="2"/>
    </row>
    <row r="1179" spans="1:9">
      <c r="A1179" s="3"/>
      <c r="B1179" s="3"/>
      <c r="C1179" s="3"/>
      <c r="D1179" s="3"/>
      <c r="E1179" s="3"/>
      <c r="F1179" s="3"/>
      <c r="G1179" s="3"/>
      <c r="H1179" s="3"/>
      <c r="I1179" s="3"/>
    </row>
    <row r="1181" spans="1:9">
      <c r="A1181" s="4"/>
      <c r="B1181" s="4"/>
      <c r="C1181" s="4"/>
      <c r="D1181" s="4"/>
      <c r="E1181" s="4"/>
      <c r="F1181" s="4"/>
      <c r="G1181" s="4"/>
      <c r="H1181" s="4"/>
      <c r="I1181" s="4"/>
    </row>
    <row r="1182" spans="1:9">
      <c r="A1182" s="1"/>
    </row>
    <row r="1183" spans="1:9">
      <c r="A1183" s="2"/>
      <c r="B1183" s="2"/>
      <c r="C1183" s="2"/>
      <c r="D1183" s="2"/>
      <c r="E1183" s="2"/>
      <c r="F1183" s="2"/>
      <c r="G1183" s="2"/>
      <c r="H1183" s="2"/>
      <c r="I1183" s="2"/>
    </row>
    <row r="1184" spans="1:9">
      <c r="A1184" s="2"/>
      <c r="B1184" s="2"/>
      <c r="C1184" s="2"/>
      <c r="D1184" s="2"/>
      <c r="E1184" s="2"/>
      <c r="F1184" s="2"/>
      <c r="G1184" s="2"/>
      <c r="H1184" s="2"/>
      <c r="I1184" s="2"/>
    </row>
    <row r="1185" spans="1:9">
      <c r="A1185" s="2"/>
      <c r="B1185" s="2"/>
      <c r="C1185" s="2"/>
      <c r="D1185" s="2"/>
      <c r="E1185" s="2"/>
      <c r="F1185" s="2"/>
      <c r="G1185" s="2"/>
      <c r="H1185" s="2"/>
      <c r="I1185" s="2"/>
    </row>
    <row r="1186" spans="1:9">
      <c r="A1186" s="2"/>
      <c r="B1186" s="2"/>
      <c r="C1186" s="2"/>
      <c r="D1186" s="2"/>
      <c r="E1186" s="2"/>
      <c r="F1186" s="2"/>
      <c r="G1186" s="2"/>
      <c r="H1186" s="2"/>
      <c r="I1186" s="2"/>
    </row>
    <row r="1187" spans="1:9">
      <c r="A1187" s="2"/>
      <c r="B1187" s="2"/>
      <c r="C1187" s="2"/>
      <c r="D1187" s="2"/>
      <c r="E1187" s="2"/>
      <c r="F1187" s="2"/>
      <c r="G1187" s="2"/>
      <c r="H1187" s="2"/>
      <c r="I1187" s="2"/>
    </row>
    <row r="1188" spans="1:9">
      <c r="A1188" s="2"/>
      <c r="B1188" s="2"/>
      <c r="C1188" s="2"/>
      <c r="D1188" s="2"/>
      <c r="E1188" s="2"/>
      <c r="F1188" s="2"/>
      <c r="G1188" s="2"/>
      <c r="H1188" s="2"/>
      <c r="I1188" s="2"/>
    </row>
    <row r="1190" spans="1:9">
      <c r="A1190" s="4"/>
      <c r="B1190" s="4"/>
      <c r="C1190" s="4"/>
      <c r="D1190" s="4"/>
      <c r="E1190" s="4"/>
      <c r="F1190" s="4"/>
      <c r="G1190" s="4"/>
      <c r="H1190" s="4"/>
      <c r="I1190" s="4"/>
    </row>
    <row r="1191" spans="1:9">
      <c r="A1191" s="4"/>
      <c r="B1191" s="4"/>
      <c r="C1191" s="4"/>
      <c r="D1191" s="4"/>
      <c r="E1191" s="4"/>
      <c r="F1191" s="4"/>
      <c r="G1191" s="4"/>
      <c r="H1191" s="4"/>
      <c r="I1191" s="4"/>
    </row>
    <row r="1192" spans="1:9">
      <c r="A1192" s="1"/>
    </row>
    <row r="1193" spans="1:9">
      <c r="A1193" s="2"/>
      <c r="B1193" s="2"/>
      <c r="C1193" s="2"/>
      <c r="D1193" s="2"/>
      <c r="E1193" s="2"/>
      <c r="F1193" s="2"/>
      <c r="G1193" s="2"/>
      <c r="H1193" s="2"/>
      <c r="I1193" s="2"/>
    </row>
    <row r="1194" spans="1:9">
      <c r="A1194" s="2"/>
      <c r="B1194" s="2"/>
      <c r="C1194" s="2"/>
      <c r="D1194" s="2"/>
      <c r="E1194" s="2"/>
      <c r="F1194" s="2"/>
      <c r="G1194" s="2"/>
      <c r="H1194" s="2"/>
      <c r="I1194" s="2"/>
    </row>
    <row r="1195" spans="1:9">
      <c r="A1195" s="2"/>
      <c r="B1195" s="2"/>
      <c r="C1195" s="2"/>
      <c r="D1195" s="2"/>
      <c r="E1195" s="2"/>
      <c r="F1195" s="2"/>
      <c r="G1195" s="2"/>
      <c r="H1195" s="2"/>
      <c r="I1195" s="2"/>
    </row>
    <row r="1196" spans="1:9">
      <c r="A1196" s="2"/>
      <c r="B1196" s="2"/>
      <c r="C1196" s="2"/>
      <c r="D1196" s="2"/>
      <c r="E1196" s="2"/>
      <c r="F1196" s="2"/>
      <c r="G1196" s="2"/>
      <c r="H1196" s="2"/>
      <c r="I1196" s="2"/>
    </row>
    <row r="1197" spans="1:9">
      <c r="A1197" s="2"/>
      <c r="B1197" s="2"/>
      <c r="C1197" s="2"/>
      <c r="D1197" s="2"/>
      <c r="E1197" s="2"/>
      <c r="F1197" s="2"/>
      <c r="G1197" s="2"/>
      <c r="H1197" s="2"/>
      <c r="I1197" s="2"/>
    </row>
    <row r="1198" spans="1:9">
      <c r="A1198" s="2"/>
      <c r="B1198" s="2"/>
      <c r="C1198" s="2"/>
      <c r="D1198" s="2"/>
      <c r="E1198" s="2"/>
      <c r="F1198" s="2"/>
      <c r="G1198" s="2"/>
      <c r="H1198" s="2"/>
      <c r="I1198" s="2"/>
    </row>
    <row r="1199" spans="1:9">
      <c r="A1199" s="3"/>
      <c r="B1199" s="3"/>
      <c r="C1199" s="3"/>
      <c r="D1199" s="3"/>
      <c r="E1199" s="3"/>
      <c r="F1199" s="3"/>
      <c r="G1199" s="3"/>
      <c r="H1199" s="3"/>
      <c r="I1199" s="3"/>
    </row>
    <row r="1201" spans="1:9">
      <c r="A1201" s="4"/>
      <c r="B1201" s="4"/>
      <c r="C1201" s="4"/>
      <c r="D1201" s="4"/>
      <c r="E1201" s="4"/>
      <c r="F1201" s="4"/>
      <c r="G1201" s="4"/>
      <c r="H1201" s="4"/>
      <c r="I1201" s="4"/>
    </row>
    <row r="1202" spans="1:9">
      <c r="A1202" s="1"/>
    </row>
    <row r="1203" spans="1:9">
      <c r="A1203" s="2"/>
      <c r="B1203" s="2"/>
      <c r="C1203" s="2"/>
      <c r="D1203" s="2"/>
      <c r="E1203" s="2"/>
      <c r="F1203" s="2"/>
      <c r="G1203" s="2"/>
      <c r="H1203" s="2"/>
      <c r="I1203" s="2"/>
    </row>
    <row r="1204" spans="1:9">
      <c r="A1204" s="2"/>
      <c r="B1204" s="2"/>
      <c r="C1204" s="2"/>
      <c r="D1204" s="2"/>
      <c r="E1204" s="2"/>
      <c r="F1204" s="2"/>
      <c r="G1204" s="2"/>
      <c r="H1204" s="2"/>
      <c r="I1204" s="2"/>
    </row>
    <row r="1205" spans="1:9">
      <c r="A1205" s="2"/>
      <c r="B1205" s="2"/>
      <c r="C1205" s="2"/>
      <c r="D1205" s="2"/>
      <c r="E1205" s="2"/>
      <c r="F1205" s="2"/>
      <c r="G1205" s="2"/>
      <c r="H1205" s="2"/>
      <c r="I1205" s="2"/>
    </row>
    <row r="1206" spans="1:9">
      <c r="A1206" s="2"/>
      <c r="B1206" s="2"/>
      <c r="C1206" s="2"/>
      <c r="D1206" s="2"/>
      <c r="E1206" s="2"/>
      <c r="F1206" s="2"/>
      <c r="G1206" s="2"/>
      <c r="H1206" s="2"/>
      <c r="I1206" s="2"/>
    </row>
    <row r="1207" spans="1:9">
      <c r="A1207" s="2"/>
      <c r="B1207" s="2"/>
      <c r="C1207" s="2"/>
      <c r="D1207" s="2"/>
      <c r="E1207" s="2"/>
      <c r="F1207" s="2"/>
      <c r="G1207" s="2"/>
      <c r="H1207" s="2"/>
      <c r="I1207" s="2"/>
    </row>
    <row r="1208" spans="1:9">
      <c r="A1208" s="2"/>
      <c r="B1208" s="2"/>
      <c r="C1208" s="2"/>
      <c r="D1208" s="2"/>
      <c r="E1208" s="2"/>
      <c r="F1208" s="2"/>
      <c r="G1208" s="2"/>
      <c r="H1208" s="2"/>
      <c r="I1208" s="2"/>
    </row>
    <row r="1209" spans="1:9">
      <c r="A1209" s="3"/>
      <c r="B1209" s="3"/>
      <c r="C1209" s="3"/>
      <c r="D1209" s="3"/>
      <c r="E1209" s="3"/>
      <c r="F1209" s="3"/>
      <c r="G1209" s="3"/>
      <c r="H1209" s="3"/>
      <c r="I1209" s="3"/>
    </row>
    <row r="1211" spans="1:9">
      <c r="A1211" s="4"/>
      <c r="B1211" s="4"/>
      <c r="C1211" s="4"/>
      <c r="D1211" s="4"/>
      <c r="E1211" s="4"/>
      <c r="F1211" s="4"/>
      <c r="G1211" s="4"/>
      <c r="H1211" s="4"/>
      <c r="I1211" s="4"/>
    </row>
    <row r="1212" spans="1:9">
      <c r="A1212" s="1"/>
    </row>
    <row r="1213" spans="1:9">
      <c r="A1213" s="2"/>
      <c r="B1213" s="2"/>
      <c r="C1213" s="2"/>
      <c r="D1213" s="2"/>
      <c r="E1213" s="2"/>
      <c r="F1213" s="2"/>
      <c r="G1213" s="2"/>
      <c r="H1213" s="2"/>
      <c r="I1213" s="2"/>
    </row>
    <row r="1214" spans="1:9">
      <c r="A1214" s="2"/>
      <c r="B1214" s="2"/>
      <c r="C1214" s="2"/>
      <c r="D1214" s="2"/>
      <c r="E1214" s="2"/>
      <c r="F1214" s="2"/>
      <c r="G1214" s="2"/>
      <c r="H1214" s="2"/>
      <c r="I1214" s="2"/>
    </row>
    <row r="1215" spans="1:9">
      <c r="A1215" s="2"/>
      <c r="B1215" s="2"/>
      <c r="C1215" s="2"/>
      <c r="D1215" s="2"/>
      <c r="E1215" s="2"/>
      <c r="F1215" s="2"/>
      <c r="G1215" s="2"/>
      <c r="H1215" s="2"/>
      <c r="I1215" s="2"/>
    </row>
    <row r="1216" spans="1:9">
      <c r="A1216" s="2"/>
      <c r="B1216" s="2"/>
      <c r="C1216" s="2"/>
      <c r="D1216" s="2"/>
      <c r="E1216" s="2"/>
      <c r="F1216" s="2"/>
      <c r="G1216" s="2"/>
      <c r="H1216" s="2"/>
      <c r="I1216" s="2"/>
    </row>
    <row r="1217" spans="1:9">
      <c r="A1217" s="2"/>
      <c r="B1217" s="2"/>
      <c r="C1217" s="2"/>
      <c r="D1217" s="2"/>
      <c r="E1217" s="2"/>
      <c r="F1217" s="2"/>
      <c r="G1217" s="2"/>
      <c r="H1217" s="2"/>
      <c r="I1217" s="2"/>
    </row>
    <row r="1218" spans="1:9">
      <c r="A1218" s="2"/>
      <c r="B1218" s="2"/>
      <c r="C1218" s="2"/>
      <c r="D1218" s="2"/>
      <c r="E1218" s="2"/>
      <c r="F1218" s="2"/>
      <c r="G1218" s="2"/>
      <c r="H1218" s="2"/>
      <c r="I1218" s="2"/>
    </row>
    <row r="1220" spans="1:9">
      <c r="A1220" s="4"/>
      <c r="B1220" s="4"/>
      <c r="C1220" s="4"/>
      <c r="D1220" s="4"/>
      <c r="E1220" s="4"/>
      <c r="F1220" s="4"/>
      <c r="G1220" s="4"/>
      <c r="H1220" s="4"/>
      <c r="I1220" s="4"/>
    </row>
    <row r="1221" spans="1:9">
      <c r="A1221" s="4"/>
      <c r="B1221" s="4"/>
      <c r="C1221" s="4"/>
      <c r="D1221" s="4"/>
      <c r="E1221" s="4"/>
      <c r="F1221" s="4"/>
      <c r="G1221" s="4"/>
      <c r="H1221" s="4"/>
      <c r="I1221" s="4"/>
    </row>
    <row r="1222" spans="1:9">
      <c r="A1222" s="1"/>
    </row>
    <row r="1223" spans="1:9">
      <c r="A1223" s="2"/>
      <c r="B1223" s="2"/>
      <c r="C1223" s="2"/>
      <c r="D1223" s="2"/>
      <c r="E1223" s="2"/>
      <c r="F1223" s="2"/>
      <c r="G1223" s="2"/>
      <c r="H1223" s="2"/>
      <c r="I1223" s="2"/>
    </row>
    <row r="1224" spans="1:9">
      <c r="A1224" s="2"/>
      <c r="B1224" s="2"/>
      <c r="C1224" s="2"/>
      <c r="D1224" s="2"/>
      <c r="E1224" s="2"/>
      <c r="F1224" s="2"/>
      <c r="G1224" s="2"/>
      <c r="H1224" s="2"/>
      <c r="I1224" s="2"/>
    </row>
    <row r="1225" spans="1:9">
      <c r="A1225" s="2"/>
      <c r="B1225" s="2"/>
      <c r="C1225" s="2"/>
      <c r="D1225" s="2"/>
      <c r="E1225" s="2"/>
      <c r="F1225" s="2"/>
      <c r="G1225" s="2"/>
      <c r="H1225" s="2"/>
      <c r="I1225" s="2"/>
    </row>
    <row r="1226" spans="1:9">
      <c r="A1226" s="2"/>
      <c r="B1226" s="2"/>
      <c r="C1226" s="2"/>
      <c r="D1226" s="2"/>
      <c r="E1226" s="2"/>
      <c r="F1226" s="2"/>
      <c r="G1226" s="2"/>
      <c r="H1226" s="2"/>
      <c r="I1226" s="2"/>
    </row>
    <row r="1227" spans="1:9">
      <c r="A1227" s="2"/>
      <c r="B1227" s="2"/>
      <c r="C1227" s="2"/>
      <c r="D1227" s="2"/>
      <c r="E1227" s="2"/>
      <c r="F1227" s="2"/>
      <c r="G1227" s="2"/>
      <c r="H1227" s="2"/>
      <c r="I1227" s="2"/>
    </row>
    <row r="1228" spans="1:9">
      <c r="A1228" s="2"/>
      <c r="B1228" s="2"/>
      <c r="C1228" s="2"/>
      <c r="D1228" s="2"/>
      <c r="E1228" s="2"/>
      <c r="F1228" s="2"/>
      <c r="G1228" s="2"/>
      <c r="H1228" s="2"/>
      <c r="I1228" s="2"/>
    </row>
    <row r="1229" spans="1:9">
      <c r="A1229" s="3"/>
      <c r="B1229" s="3"/>
      <c r="C1229" s="3"/>
      <c r="D1229" s="3"/>
      <c r="E1229" s="3"/>
      <c r="F1229" s="3"/>
      <c r="G1229" s="3"/>
      <c r="H1229" s="3"/>
      <c r="I1229" s="3"/>
    </row>
    <row r="1231" spans="1:9">
      <c r="A1231" s="4"/>
      <c r="B1231" s="4"/>
      <c r="C1231" s="4"/>
      <c r="D1231" s="4"/>
      <c r="E1231" s="4"/>
      <c r="F1231" s="4"/>
      <c r="G1231" s="4"/>
      <c r="H1231" s="4"/>
      <c r="I1231" s="4"/>
    </row>
    <row r="1232" spans="1:9">
      <c r="A1232" s="1"/>
    </row>
    <row r="1233" spans="1:9">
      <c r="A1233" s="2"/>
      <c r="B1233" s="2"/>
      <c r="C1233" s="2"/>
      <c r="D1233" s="2"/>
      <c r="E1233" s="2"/>
      <c r="F1233" s="2"/>
      <c r="G1233" s="2"/>
      <c r="H1233" s="2"/>
      <c r="I1233" s="2"/>
    </row>
    <row r="1234" spans="1:9">
      <c r="A1234" s="2"/>
      <c r="B1234" s="2"/>
      <c r="C1234" s="2"/>
      <c r="D1234" s="2"/>
      <c r="E1234" s="2"/>
      <c r="F1234" s="2"/>
      <c r="G1234" s="2"/>
      <c r="H1234" s="2"/>
      <c r="I1234" s="2"/>
    </row>
    <row r="1235" spans="1:9">
      <c r="A1235" s="2"/>
      <c r="B1235" s="2"/>
      <c r="C1235" s="2"/>
      <c r="D1235" s="2"/>
      <c r="E1235" s="2"/>
      <c r="F1235" s="2"/>
      <c r="G1235" s="2"/>
      <c r="H1235" s="2"/>
      <c r="I1235" s="2"/>
    </row>
    <row r="1236" spans="1:9">
      <c r="A1236" s="2"/>
      <c r="B1236" s="2"/>
      <c r="C1236" s="2"/>
      <c r="D1236" s="2"/>
      <c r="E1236" s="2"/>
      <c r="F1236" s="2"/>
      <c r="G1236" s="2"/>
      <c r="H1236" s="2"/>
      <c r="I1236" s="2"/>
    </row>
    <row r="1237" spans="1:9">
      <c r="A1237" s="2"/>
      <c r="B1237" s="2"/>
      <c r="C1237" s="2"/>
      <c r="D1237" s="2"/>
      <c r="E1237" s="2"/>
      <c r="F1237" s="2"/>
      <c r="G1237" s="2"/>
      <c r="H1237" s="2"/>
      <c r="I1237" s="2"/>
    </row>
    <row r="1238" spans="1:9">
      <c r="A1238" s="2"/>
      <c r="B1238" s="2"/>
      <c r="C1238" s="2"/>
      <c r="D1238" s="2"/>
      <c r="E1238" s="2"/>
      <c r="F1238" s="2"/>
      <c r="G1238" s="2"/>
      <c r="H1238" s="2"/>
      <c r="I1238" s="2"/>
    </row>
    <row r="1239" spans="1:9">
      <c r="A1239" s="3"/>
      <c r="B1239" s="3"/>
      <c r="C1239" s="3"/>
      <c r="D1239" s="3"/>
      <c r="E1239" s="3"/>
      <c r="F1239" s="3"/>
      <c r="G1239" s="3"/>
      <c r="H1239" s="3"/>
      <c r="I1239" s="3"/>
    </row>
    <row r="1241" spans="1:9">
      <c r="A1241" s="4"/>
      <c r="B1241" s="4"/>
      <c r="C1241" s="4"/>
      <c r="D1241" s="4"/>
      <c r="E1241" s="4"/>
      <c r="F1241" s="4"/>
      <c r="G1241" s="4"/>
      <c r="H1241" s="4"/>
      <c r="I1241" s="4"/>
    </row>
    <row r="1242" spans="1:9">
      <c r="A1242" s="1"/>
    </row>
    <row r="1243" spans="1:9">
      <c r="A1243" s="2"/>
      <c r="B1243" s="2"/>
      <c r="C1243" s="2"/>
      <c r="D1243" s="2"/>
      <c r="E1243" s="2"/>
      <c r="F1243" s="2"/>
      <c r="G1243" s="2"/>
      <c r="H1243" s="2"/>
      <c r="I1243" s="2"/>
    </row>
    <row r="1244" spans="1:9">
      <c r="A1244" s="2"/>
      <c r="B1244" s="2"/>
      <c r="C1244" s="2"/>
      <c r="D1244" s="2"/>
      <c r="E1244" s="2"/>
      <c r="F1244" s="2"/>
      <c r="G1244" s="2"/>
      <c r="H1244" s="2"/>
      <c r="I1244" s="2"/>
    </row>
    <row r="1245" spans="1:9">
      <c r="A1245" s="2"/>
      <c r="B1245" s="2"/>
      <c r="C1245" s="2"/>
      <c r="D1245" s="2"/>
      <c r="E1245" s="2"/>
      <c r="F1245" s="2"/>
      <c r="G1245" s="2"/>
      <c r="H1245" s="2"/>
      <c r="I1245" s="2"/>
    </row>
    <row r="1246" spans="1:9">
      <c r="A1246" s="2"/>
      <c r="B1246" s="2"/>
      <c r="C1246" s="2"/>
      <c r="D1246" s="2"/>
      <c r="E1246" s="2"/>
      <c r="F1246" s="2"/>
      <c r="G1246" s="2"/>
      <c r="H1246" s="2"/>
      <c r="I1246" s="2"/>
    </row>
    <row r="1247" spans="1:9">
      <c r="A1247" s="2"/>
      <c r="B1247" s="2"/>
      <c r="C1247" s="2"/>
      <c r="D1247" s="2"/>
      <c r="E1247" s="2"/>
      <c r="F1247" s="2"/>
      <c r="G1247" s="2"/>
      <c r="H1247" s="2"/>
      <c r="I1247" s="2"/>
    </row>
    <row r="1248" spans="1:9">
      <c r="A1248" s="2"/>
      <c r="B1248" s="2"/>
      <c r="C1248" s="2"/>
      <c r="D1248" s="2"/>
      <c r="E1248" s="2"/>
      <c r="F1248" s="2"/>
      <c r="G1248" s="2"/>
      <c r="H1248" s="2"/>
      <c r="I1248" s="2"/>
    </row>
    <row r="1250" spans="1:9">
      <c r="A1250" s="4"/>
      <c r="B1250" s="4"/>
      <c r="C1250" s="4"/>
      <c r="D1250" s="4"/>
      <c r="E1250" s="4"/>
      <c r="F1250" s="4"/>
      <c r="G1250" s="4"/>
      <c r="H1250" s="4"/>
      <c r="I1250" s="4"/>
    </row>
    <row r="1251" spans="1:9">
      <c r="A1251" s="4"/>
      <c r="B1251" s="4"/>
      <c r="C1251" s="4"/>
      <c r="D1251" s="4"/>
      <c r="E1251" s="4"/>
      <c r="F1251" s="4"/>
      <c r="G1251" s="4"/>
      <c r="H1251" s="4"/>
      <c r="I1251" s="4"/>
    </row>
    <row r="1252" spans="1:9">
      <c r="A1252" s="1"/>
    </row>
    <row r="1253" spans="1:9">
      <c r="A1253" s="2"/>
      <c r="B1253" s="2"/>
      <c r="C1253" s="2"/>
      <c r="D1253" s="2"/>
      <c r="E1253" s="2"/>
      <c r="F1253" s="2"/>
      <c r="G1253" s="2"/>
      <c r="H1253" s="2"/>
      <c r="I1253" s="2"/>
    </row>
    <row r="1254" spans="1:9">
      <c r="A1254" s="2"/>
      <c r="B1254" s="2"/>
      <c r="C1254" s="2"/>
      <c r="D1254" s="2"/>
      <c r="E1254" s="2"/>
      <c r="F1254" s="2"/>
      <c r="G1254" s="2"/>
      <c r="H1254" s="2"/>
      <c r="I1254" s="2"/>
    </row>
    <row r="1255" spans="1:9">
      <c r="A1255" s="2"/>
      <c r="B1255" s="2"/>
      <c r="C1255" s="2"/>
      <c r="D1255" s="2"/>
      <c r="E1255" s="2"/>
      <c r="F1255" s="2"/>
      <c r="G1255" s="2"/>
      <c r="H1255" s="2"/>
      <c r="I1255" s="2"/>
    </row>
    <row r="1256" spans="1:9">
      <c r="A1256" s="2"/>
      <c r="B1256" s="2"/>
      <c r="C1256" s="2"/>
      <c r="D1256" s="2"/>
      <c r="E1256" s="2"/>
      <c r="F1256" s="2"/>
      <c r="G1256" s="2"/>
      <c r="H1256" s="2"/>
      <c r="I1256" s="2"/>
    </row>
    <row r="1257" spans="1:9">
      <c r="A1257" s="2"/>
      <c r="B1257" s="2"/>
      <c r="C1257" s="2"/>
      <c r="D1257" s="2"/>
      <c r="E1257" s="2"/>
      <c r="F1257" s="2"/>
      <c r="G1257" s="2"/>
      <c r="H1257" s="2"/>
      <c r="I1257" s="2"/>
    </row>
    <row r="1258" spans="1:9">
      <c r="A1258" s="2"/>
      <c r="B1258" s="2"/>
      <c r="C1258" s="2"/>
      <c r="D1258" s="2"/>
      <c r="E1258" s="2"/>
      <c r="F1258" s="2"/>
      <c r="G1258" s="2"/>
      <c r="H1258" s="2"/>
      <c r="I1258" s="2"/>
    </row>
    <row r="1259" spans="1:9">
      <c r="A1259" s="3"/>
      <c r="B1259" s="3"/>
      <c r="C1259" s="3"/>
      <c r="D1259" s="3"/>
      <c r="E1259" s="3"/>
      <c r="F1259" s="3"/>
      <c r="G1259" s="3"/>
      <c r="H1259" s="3"/>
      <c r="I1259" s="3"/>
    </row>
    <row r="1261" spans="1:9">
      <c r="A1261" s="4"/>
      <c r="B1261" s="4"/>
      <c r="C1261" s="4"/>
      <c r="D1261" s="4"/>
      <c r="E1261" s="4"/>
      <c r="F1261" s="4"/>
      <c r="G1261" s="4"/>
      <c r="H1261" s="4"/>
      <c r="I1261" s="4"/>
    </row>
    <row r="1262" spans="1:9">
      <c r="A1262" s="1"/>
    </row>
    <row r="1263" spans="1:9">
      <c r="A1263" s="2"/>
      <c r="B1263" s="2"/>
      <c r="C1263" s="2"/>
      <c r="D1263" s="2"/>
      <c r="E1263" s="2"/>
      <c r="F1263" s="2"/>
      <c r="G1263" s="2"/>
      <c r="H1263" s="2"/>
      <c r="I1263" s="2"/>
    </row>
    <row r="1264" spans="1:9">
      <c r="A1264" s="2"/>
      <c r="B1264" s="2"/>
      <c r="C1264" s="2"/>
      <c r="D1264" s="2"/>
      <c r="E1264" s="2"/>
      <c r="F1264" s="2"/>
      <c r="G1264" s="2"/>
      <c r="H1264" s="2"/>
      <c r="I1264" s="2"/>
    </row>
    <row r="1265" spans="1:9">
      <c r="A1265" s="2"/>
      <c r="B1265" s="2"/>
      <c r="C1265" s="2"/>
      <c r="D1265" s="2"/>
      <c r="E1265" s="2"/>
      <c r="F1265" s="2"/>
      <c r="G1265" s="2"/>
      <c r="H1265" s="2"/>
      <c r="I1265" s="2"/>
    </row>
    <row r="1266" spans="1:9">
      <c r="A1266" s="2"/>
      <c r="B1266" s="2"/>
      <c r="C1266" s="2"/>
      <c r="D1266" s="2"/>
      <c r="E1266" s="2"/>
      <c r="F1266" s="2"/>
      <c r="G1266" s="2"/>
      <c r="H1266" s="2"/>
      <c r="I1266" s="2"/>
    </row>
    <row r="1267" spans="1:9">
      <c r="A1267" s="2"/>
      <c r="B1267" s="2"/>
      <c r="C1267" s="2"/>
      <c r="D1267" s="2"/>
      <c r="E1267" s="2"/>
      <c r="F1267" s="2"/>
      <c r="G1267" s="2"/>
      <c r="H1267" s="2"/>
      <c r="I1267" s="2"/>
    </row>
    <row r="1268" spans="1:9">
      <c r="A1268" s="2"/>
      <c r="B1268" s="2"/>
      <c r="C1268" s="2"/>
      <c r="D1268" s="2"/>
      <c r="E1268" s="2"/>
      <c r="F1268" s="2"/>
      <c r="G1268" s="2"/>
      <c r="H1268" s="2"/>
      <c r="I1268" s="2"/>
    </row>
    <row r="1269" spans="1:9">
      <c r="A1269" s="3"/>
      <c r="B1269" s="3"/>
      <c r="C1269" s="3"/>
      <c r="D1269" s="3"/>
      <c r="E1269" s="3"/>
      <c r="F1269" s="3"/>
      <c r="G1269" s="3"/>
      <c r="H1269" s="3"/>
      <c r="I1269" s="3"/>
    </row>
    <row r="1271" spans="1:9">
      <c r="A1271" s="4"/>
      <c r="B1271" s="4"/>
      <c r="C1271" s="4"/>
      <c r="D1271" s="4"/>
      <c r="E1271" s="4"/>
      <c r="F1271" s="4"/>
      <c r="G1271" s="4"/>
      <c r="H1271" s="4"/>
      <c r="I1271" s="4"/>
    </row>
    <row r="1272" spans="1:9">
      <c r="A1272" s="1"/>
    </row>
    <row r="1273" spans="1:9">
      <c r="A1273" s="2"/>
      <c r="B1273" s="2"/>
      <c r="C1273" s="2"/>
      <c r="D1273" s="2"/>
      <c r="E1273" s="2"/>
      <c r="F1273" s="2"/>
      <c r="G1273" s="2"/>
      <c r="H1273" s="2"/>
      <c r="I1273" s="2"/>
    </row>
    <row r="1274" spans="1:9">
      <c r="A1274" s="2"/>
      <c r="B1274" s="2"/>
      <c r="C1274" s="2"/>
      <c r="D1274" s="2"/>
      <c r="E1274" s="2"/>
      <c r="F1274" s="2"/>
      <c r="G1274" s="2"/>
      <c r="H1274" s="2"/>
      <c r="I1274" s="2"/>
    </row>
    <row r="1275" spans="1:9">
      <c r="A1275" s="2"/>
      <c r="B1275" s="2"/>
      <c r="C1275" s="2"/>
      <c r="D1275" s="2"/>
      <c r="E1275" s="2"/>
      <c r="F1275" s="2"/>
      <c r="G1275" s="2"/>
      <c r="H1275" s="2"/>
      <c r="I1275" s="2"/>
    </row>
    <row r="1276" spans="1:9">
      <c r="A1276" s="2"/>
      <c r="B1276" s="2"/>
      <c r="C1276" s="2"/>
      <c r="D1276" s="2"/>
      <c r="E1276" s="2"/>
      <c r="F1276" s="2"/>
      <c r="G1276" s="2"/>
      <c r="H1276" s="2"/>
      <c r="I1276" s="2"/>
    </row>
    <row r="1277" spans="1:9">
      <c r="A1277" s="2"/>
      <c r="B1277" s="2"/>
      <c r="C1277" s="2"/>
      <c r="D1277" s="2"/>
      <c r="E1277" s="2"/>
      <c r="F1277" s="2"/>
      <c r="G1277" s="2"/>
      <c r="H1277" s="2"/>
      <c r="I1277" s="2"/>
    </row>
    <row r="1278" spans="1:9">
      <c r="A1278" s="2"/>
      <c r="B1278" s="2"/>
      <c r="C1278" s="2"/>
      <c r="D1278" s="2"/>
      <c r="E1278" s="2"/>
      <c r="F1278" s="2"/>
      <c r="G1278" s="2"/>
      <c r="H1278" s="2"/>
      <c r="I1278" s="2"/>
    </row>
    <row r="1280" spans="1:9">
      <c r="A1280" s="4"/>
      <c r="B1280" s="4"/>
      <c r="C1280" s="4"/>
      <c r="D1280" s="4"/>
      <c r="E1280" s="4"/>
      <c r="F1280" s="4"/>
      <c r="G1280" s="4"/>
      <c r="H1280" s="4"/>
      <c r="I1280" s="4"/>
    </row>
    <row r="1281" spans="1:9">
      <c r="A1281" s="4"/>
      <c r="B1281" s="4"/>
      <c r="C1281" s="4"/>
      <c r="D1281" s="4"/>
      <c r="E1281" s="4"/>
      <c r="F1281" s="4"/>
      <c r="G1281" s="4"/>
      <c r="H1281" s="4"/>
      <c r="I1281" s="4"/>
    </row>
    <row r="1282" spans="1:9">
      <c r="A1282" s="1"/>
    </row>
    <row r="1283" spans="1:9">
      <c r="A1283" s="2"/>
      <c r="B1283" s="2"/>
      <c r="C1283" s="2"/>
      <c r="D1283" s="2"/>
      <c r="E1283" s="2"/>
      <c r="F1283" s="2"/>
      <c r="G1283" s="2"/>
      <c r="H1283" s="2"/>
      <c r="I1283" s="2"/>
    </row>
    <row r="1284" spans="1:9">
      <c r="A1284" s="2"/>
      <c r="B1284" s="2"/>
      <c r="C1284" s="2"/>
      <c r="D1284" s="2"/>
      <c r="E1284" s="2"/>
      <c r="F1284" s="2"/>
      <c r="G1284" s="2"/>
      <c r="H1284" s="2"/>
      <c r="I1284" s="2"/>
    </row>
    <row r="1285" spans="1:9">
      <c r="A1285" s="2"/>
      <c r="B1285" s="2"/>
      <c r="C1285" s="2"/>
      <c r="D1285" s="2"/>
      <c r="E1285" s="2"/>
      <c r="F1285" s="2"/>
      <c r="G1285" s="2"/>
      <c r="H1285" s="2"/>
      <c r="I1285" s="2"/>
    </row>
    <row r="1286" spans="1:9">
      <c r="A1286" s="2"/>
      <c r="B1286" s="2"/>
      <c r="C1286" s="2"/>
      <c r="D1286" s="2"/>
      <c r="E1286" s="2"/>
      <c r="F1286" s="2"/>
      <c r="G1286" s="2"/>
      <c r="H1286" s="2"/>
      <c r="I1286" s="2"/>
    </row>
    <row r="1287" spans="1:9">
      <c r="A1287" s="2"/>
      <c r="B1287" s="2"/>
      <c r="C1287" s="2"/>
      <c r="D1287" s="2"/>
      <c r="E1287" s="2"/>
      <c r="F1287" s="2"/>
      <c r="G1287" s="2"/>
      <c r="H1287" s="2"/>
      <c r="I1287" s="2"/>
    </row>
    <row r="1288" spans="1:9">
      <c r="A1288" s="2"/>
      <c r="B1288" s="2"/>
      <c r="C1288" s="2"/>
      <c r="D1288" s="2"/>
      <c r="E1288" s="2"/>
      <c r="F1288" s="2"/>
      <c r="G1288" s="2"/>
      <c r="H1288" s="2"/>
      <c r="I1288" s="2"/>
    </row>
    <row r="1289" spans="1:9">
      <c r="A1289" s="3"/>
      <c r="B1289" s="3"/>
      <c r="C1289" s="3"/>
      <c r="D1289" s="3"/>
      <c r="E1289" s="3"/>
      <c r="F1289" s="3"/>
      <c r="G1289" s="3"/>
      <c r="H1289" s="3"/>
      <c r="I1289" s="3"/>
    </row>
    <row r="1291" spans="1:9">
      <c r="A1291" s="4"/>
      <c r="B1291" s="4"/>
      <c r="C1291" s="4"/>
      <c r="D1291" s="4"/>
      <c r="E1291" s="4"/>
      <c r="F1291" s="4"/>
      <c r="G1291" s="4"/>
      <c r="H1291" s="4"/>
      <c r="I1291" s="4"/>
    </row>
    <row r="1292" spans="1:9">
      <c r="A1292" s="1"/>
    </row>
    <row r="1293" spans="1:9">
      <c r="A1293" s="2"/>
      <c r="B1293" s="2"/>
      <c r="C1293" s="2"/>
      <c r="D1293" s="2"/>
      <c r="E1293" s="2"/>
      <c r="F1293" s="2"/>
      <c r="G1293" s="2"/>
      <c r="H1293" s="2"/>
      <c r="I1293" s="2"/>
    </row>
    <row r="1294" spans="1:9">
      <c r="A1294" s="2"/>
      <c r="B1294" s="2"/>
      <c r="C1294" s="2"/>
      <c r="D1294" s="2"/>
      <c r="E1294" s="2"/>
      <c r="F1294" s="2"/>
      <c r="G1294" s="2"/>
      <c r="H1294" s="2"/>
      <c r="I1294" s="2"/>
    </row>
    <row r="1295" spans="1:9">
      <c r="A1295" s="2"/>
      <c r="B1295" s="2"/>
      <c r="C1295" s="2"/>
      <c r="D1295" s="2"/>
      <c r="E1295" s="2"/>
      <c r="F1295" s="2"/>
      <c r="G1295" s="2"/>
      <c r="H1295" s="2"/>
      <c r="I1295" s="2"/>
    </row>
    <row r="1296" spans="1:9">
      <c r="A1296" s="2"/>
      <c r="B1296" s="2"/>
      <c r="C1296" s="2"/>
      <c r="D1296" s="2"/>
      <c r="E1296" s="2"/>
      <c r="F1296" s="2"/>
      <c r="G1296" s="2"/>
      <c r="H1296" s="2"/>
      <c r="I1296" s="2"/>
    </row>
    <row r="1297" spans="1:9">
      <c r="A1297" s="2"/>
      <c r="B1297" s="2"/>
      <c r="C1297" s="2"/>
      <c r="D1297" s="2"/>
      <c r="E1297" s="2"/>
      <c r="F1297" s="2"/>
      <c r="G1297" s="2"/>
      <c r="H1297" s="2"/>
      <c r="I1297" s="2"/>
    </row>
    <row r="1298" spans="1:9">
      <c r="A1298" s="2"/>
      <c r="B1298" s="2"/>
      <c r="C1298" s="2"/>
      <c r="D1298" s="2"/>
      <c r="E1298" s="2"/>
      <c r="F1298" s="2"/>
      <c r="G1298" s="2"/>
      <c r="H1298" s="2"/>
      <c r="I1298" s="2"/>
    </row>
    <row r="1299" spans="1:9">
      <c r="A1299" s="3"/>
      <c r="B1299" s="3"/>
      <c r="C1299" s="3"/>
      <c r="D1299" s="3"/>
      <c r="E1299" s="3"/>
      <c r="F1299" s="3"/>
      <c r="G1299" s="3"/>
      <c r="H1299" s="3"/>
      <c r="I1299" s="3"/>
    </row>
    <row r="1301" spans="1:9">
      <c r="A1301" s="4"/>
      <c r="B1301" s="4"/>
      <c r="C1301" s="4"/>
      <c r="D1301" s="4"/>
      <c r="E1301" s="4"/>
      <c r="F1301" s="4"/>
      <c r="G1301" s="4"/>
      <c r="H1301" s="4"/>
      <c r="I1301" s="4"/>
    </row>
    <row r="1302" spans="1:9">
      <c r="A1302" s="1"/>
    </row>
    <row r="1303" spans="1:9">
      <c r="A1303" s="2"/>
      <c r="B1303" s="2"/>
      <c r="C1303" s="2"/>
      <c r="D1303" s="2"/>
      <c r="E1303" s="2"/>
      <c r="F1303" s="2"/>
      <c r="G1303" s="2"/>
      <c r="H1303" s="2"/>
      <c r="I1303" s="2"/>
    </row>
    <row r="1304" spans="1:9">
      <c r="A1304" s="2"/>
      <c r="B1304" s="2"/>
      <c r="C1304" s="2"/>
      <c r="D1304" s="2"/>
      <c r="E1304" s="2"/>
      <c r="F1304" s="2"/>
      <c r="G1304" s="2"/>
      <c r="H1304" s="2"/>
      <c r="I1304" s="2"/>
    </row>
    <row r="1305" spans="1:9">
      <c r="A1305" s="2"/>
      <c r="B1305" s="2"/>
      <c r="C1305" s="2"/>
      <c r="D1305" s="2"/>
      <c r="E1305" s="2"/>
      <c r="F1305" s="2"/>
      <c r="G1305" s="2"/>
      <c r="H1305" s="2"/>
      <c r="I1305" s="2"/>
    </row>
    <row r="1306" spans="1:9">
      <c r="A1306" s="2"/>
      <c r="B1306" s="2"/>
      <c r="C1306" s="2"/>
      <c r="D1306" s="2"/>
      <c r="E1306" s="2"/>
      <c r="F1306" s="2"/>
      <c r="G1306" s="2"/>
      <c r="H1306" s="2"/>
      <c r="I1306" s="2"/>
    </row>
    <row r="1307" spans="1:9">
      <c r="A1307" s="2"/>
      <c r="B1307" s="2"/>
      <c r="C1307" s="2"/>
      <c r="D1307" s="2"/>
      <c r="E1307" s="2"/>
      <c r="F1307" s="2"/>
      <c r="G1307" s="2"/>
      <c r="H1307" s="2"/>
      <c r="I1307" s="2"/>
    </row>
    <row r="1308" spans="1:9">
      <c r="A1308" s="2"/>
      <c r="B1308" s="2"/>
      <c r="C1308" s="2"/>
      <c r="D1308" s="2"/>
      <c r="E1308" s="2"/>
      <c r="F1308" s="2"/>
      <c r="G1308" s="2"/>
      <c r="H1308" s="2"/>
      <c r="I1308" s="2"/>
    </row>
    <row r="1310" spans="1:9">
      <c r="A1310" s="4"/>
      <c r="B1310" s="4"/>
      <c r="C1310" s="4"/>
      <c r="D1310" s="4"/>
      <c r="E1310" s="4"/>
      <c r="F1310" s="4"/>
      <c r="G1310" s="4"/>
      <c r="H1310" s="4"/>
      <c r="I1310" s="4"/>
    </row>
    <row r="1311" spans="1:9">
      <c r="A1311" s="4"/>
      <c r="B1311" s="4"/>
      <c r="C1311" s="4"/>
      <c r="D1311" s="4"/>
      <c r="E1311" s="4"/>
      <c r="F1311" s="4"/>
      <c r="G1311" s="4"/>
      <c r="H1311" s="4"/>
      <c r="I1311" s="4"/>
    </row>
    <row r="1312" spans="1:9">
      <c r="A1312" s="1"/>
    </row>
    <row r="1313" spans="1:9">
      <c r="A1313" s="2"/>
      <c r="B1313" s="2"/>
      <c r="C1313" s="2"/>
      <c r="D1313" s="2"/>
      <c r="E1313" s="2"/>
      <c r="F1313" s="2"/>
      <c r="G1313" s="2"/>
      <c r="H1313" s="2"/>
      <c r="I1313" s="2"/>
    </row>
    <row r="1314" spans="1:9">
      <c r="A1314" s="2"/>
      <c r="B1314" s="2"/>
      <c r="C1314" s="2"/>
      <c r="D1314" s="2"/>
      <c r="E1314" s="2"/>
      <c r="F1314" s="2"/>
      <c r="G1314" s="2"/>
      <c r="H1314" s="2"/>
      <c r="I1314" s="2"/>
    </row>
    <row r="1315" spans="1:9">
      <c r="A1315" s="2"/>
      <c r="B1315" s="2"/>
      <c r="C1315" s="2"/>
      <c r="D1315" s="2"/>
      <c r="E1315" s="2"/>
      <c r="F1315" s="2"/>
      <c r="G1315" s="2"/>
      <c r="H1315" s="2"/>
      <c r="I1315" s="2"/>
    </row>
    <row r="1316" spans="1:9">
      <c r="A1316" s="2"/>
      <c r="B1316" s="2"/>
      <c r="C1316" s="2"/>
      <c r="D1316" s="2"/>
      <c r="E1316" s="2"/>
      <c r="F1316" s="2"/>
      <c r="G1316" s="2"/>
      <c r="H1316" s="2"/>
      <c r="I1316" s="2"/>
    </row>
    <row r="1317" spans="1:9">
      <c r="A1317" s="2"/>
      <c r="B1317" s="2"/>
      <c r="C1317" s="2"/>
      <c r="D1317" s="2"/>
      <c r="E1317" s="2"/>
      <c r="F1317" s="2"/>
      <c r="G1317" s="2"/>
      <c r="H1317" s="2"/>
      <c r="I1317" s="2"/>
    </row>
    <row r="1318" spans="1:9">
      <c r="A1318" s="2"/>
      <c r="B1318" s="2"/>
      <c r="C1318" s="2"/>
      <c r="D1318" s="2"/>
      <c r="E1318" s="2"/>
      <c r="F1318" s="2"/>
      <c r="G1318" s="2"/>
      <c r="H1318" s="2"/>
      <c r="I1318" s="2"/>
    </row>
    <row r="1319" spans="1:9">
      <c r="A1319" s="3"/>
      <c r="B1319" s="3"/>
      <c r="C1319" s="3"/>
      <c r="D1319" s="3"/>
      <c r="E1319" s="3"/>
      <c r="F1319" s="3"/>
      <c r="G1319" s="3"/>
      <c r="H1319" s="3"/>
      <c r="I1319" s="3"/>
    </row>
    <row r="1321" spans="1:9">
      <c r="A1321" s="4"/>
      <c r="B1321" s="4"/>
      <c r="C1321" s="4"/>
      <c r="D1321" s="4"/>
      <c r="E1321" s="4"/>
      <c r="F1321" s="4"/>
      <c r="G1321" s="4"/>
      <c r="H1321" s="4"/>
      <c r="I1321" s="4"/>
    </row>
    <row r="1322" spans="1:9">
      <c r="A1322" s="1"/>
    </row>
    <row r="1323" spans="1:9">
      <c r="A1323" s="2"/>
      <c r="B1323" s="2"/>
      <c r="C1323" s="2"/>
      <c r="D1323" s="2"/>
      <c r="E1323" s="2"/>
      <c r="F1323" s="2"/>
      <c r="G1323" s="2"/>
      <c r="H1323" s="2"/>
      <c r="I1323" s="2"/>
    </row>
    <row r="1324" spans="1:9">
      <c r="A1324" s="2"/>
      <c r="B1324" s="2"/>
      <c r="C1324" s="2"/>
      <c r="D1324" s="2"/>
      <c r="E1324" s="2"/>
      <c r="F1324" s="2"/>
      <c r="G1324" s="2"/>
      <c r="H1324" s="2"/>
      <c r="I1324" s="2"/>
    </row>
    <row r="1325" spans="1:9">
      <c r="A1325" s="2"/>
      <c r="B1325" s="2"/>
      <c r="C1325" s="2"/>
      <c r="D1325" s="2"/>
      <c r="E1325" s="2"/>
      <c r="F1325" s="2"/>
      <c r="G1325" s="2"/>
      <c r="H1325" s="2"/>
      <c r="I1325" s="2"/>
    </row>
    <row r="1326" spans="1:9">
      <c r="A1326" s="2"/>
      <c r="B1326" s="2"/>
      <c r="C1326" s="2"/>
      <c r="D1326" s="2"/>
      <c r="E1326" s="2"/>
      <c r="F1326" s="2"/>
      <c r="G1326" s="2"/>
      <c r="H1326" s="2"/>
      <c r="I1326" s="2"/>
    </row>
    <row r="1327" spans="1:9">
      <c r="A1327" s="2"/>
      <c r="B1327" s="2"/>
      <c r="C1327" s="2"/>
      <c r="D1327" s="2"/>
      <c r="E1327" s="2"/>
      <c r="F1327" s="2"/>
      <c r="G1327" s="2"/>
      <c r="H1327" s="2"/>
      <c r="I1327" s="2"/>
    </row>
    <row r="1328" spans="1:9">
      <c r="A1328" s="2"/>
      <c r="B1328" s="2"/>
      <c r="C1328" s="2"/>
      <c r="D1328" s="2"/>
      <c r="E1328" s="2"/>
      <c r="F1328" s="2"/>
      <c r="G1328" s="2"/>
      <c r="H1328" s="2"/>
      <c r="I1328" s="2"/>
    </row>
    <row r="1329" spans="1:9">
      <c r="A1329" s="3"/>
      <c r="B1329" s="3"/>
      <c r="C1329" s="3"/>
      <c r="D1329" s="3"/>
      <c r="E1329" s="3"/>
      <c r="F1329" s="3"/>
      <c r="G1329" s="3"/>
      <c r="H1329" s="3"/>
      <c r="I1329" s="3"/>
    </row>
    <row r="1331" spans="1:9">
      <c r="A1331" s="4"/>
      <c r="B1331" s="4"/>
      <c r="C1331" s="4"/>
      <c r="D1331" s="4"/>
      <c r="E1331" s="4"/>
      <c r="F1331" s="4"/>
      <c r="G1331" s="4"/>
      <c r="H1331" s="4"/>
      <c r="I1331" s="4"/>
    </row>
    <row r="1332" spans="1:9">
      <c r="A1332" s="1"/>
    </row>
    <row r="1333" spans="1:9">
      <c r="A1333" s="2"/>
      <c r="B1333" s="2"/>
      <c r="C1333" s="2"/>
      <c r="D1333" s="2"/>
      <c r="E1333" s="2"/>
      <c r="F1333" s="2"/>
      <c r="G1333" s="2"/>
      <c r="H1333" s="2"/>
      <c r="I1333" s="2"/>
    </row>
    <row r="1334" spans="1:9">
      <c r="A1334" s="2"/>
      <c r="B1334" s="2"/>
      <c r="C1334" s="2"/>
      <c r="D1334" s="2"/>
      <c r="E1334" s="2"/>
      <c r="F1334" s="2"/>
      <c r="G1334" s="2"/>
      <c r="H1334" s="2"/>
      <c r="I1334" s="2"/>
    </row>
    <row r="1335" spans="1:9">
      <c r="A1335" s="2"/>
      <c r="B1335" s="2"/>
      <c r="C1335" s="2"/>
      <c r="D1335" s="2"/>
      <c r="E1335" s="2"/>
      <c r="F1335" s="2"/>
      <c r="G1335" s="2"/>
      <c r="H1335" s="2"/>
      <c r="I1335" s="2"/>
    </row>
    <row r="1336" spans="1:9">
      <c r="A1336" s="2"/>
      <c r="B1336" s="2"/>
      <c r="C1336" s="2"/>
      <c r="D1336" s="2"/>
      <c r="E1336" s="2"/>
      <c r="F1336" s="2"/>
      <c r="G1336" s="2"/>
      <c r="H1336" s="2"/>
      <c r="I1336" s="2"/>
    </row>
    <row r="1337" spans="1:9">
      <c r="A1337" s="2"/>
      <c r="B1337" s="2"/>
      <c r="C1337" s="2"/>
      <c r="D1337" s="2"/>
      <c r="E1337" s="2"/>
      <c r="F1337" s="2"/>
      <c r="G1337" s="2"/>
      <c r="H1337" s="2"/>
      <c r="I1337" s="2"/>
    </row>
    <row r="1338" spans="1:9">
      <c r="A1338" s="2"/>
      <c r="B1338" s="2"/>
      <c r="C1338" s="2"/>
      <c r="D1338" s="2"/>
      <c r="E1338" s="2"/>
      <c r="F1338" s="2"/>
      <c r="G1338" s="2"/>
      <c r="H1338" s="2"/>
      <c r="I1338" s="2"/>
    </row>
    <row r="1340" spans="1:9">
      <c r="A1340" s="4"/>
      <c r="B1340" s="4"/>
      <c r="C1340" s="4"/>
      <c r="D1340" s="4"/>
      <c r="E1340" s="4"/>
      <c r="F1340" s="4"/>
      <c r="G1340" s="4"/>
      <c r="H1340" s="4"/>
      <c r="I1340" s="4"/>
    </row>
    <row r="1341" spans="1:9">
      <c r="A1341" s="4"/>
      <c r="B1341" s="4"/>
      <c r="C1341" s="4"/>
      <c r="D1341" s="4"/>
      <c r="E1341" s="4"/>
      <c r="F1341" s="4"/>
      <c r="G1341" s="4"/>
      <c r="H1341" s="4"/>
      <c r="I1341" s="4"/>
    </row>
    <row r="1342" spans="1:9">
      <c r="A1342" s="1"/>
    </row>
    <row r="1343" spans="1:9">
      <c r="A1343" s="2"/>
      <c r="B1343" s="2"/>
      <c r="C1343" s="2"/>
      <c r="D1343" s="2"/>
      <c r="E1343" s="2"/>
      <c r="F1343" s="2"/>
      <c r="G1343" s="2"/>
      <c r="H1343" s="2"/>
      <c r="I1343" s="2"/>
    </row>
    <row r="1344" spans="1:9">
      <c r="A1344" s="2"/>
      <c r="B1344" s="2"/>
      <c r="C1344" s="2"/>
      <c r="D1344" s="2"/>
      <c r="E1344" s="2"/>
      <c r="F1344" s="2"/>
      <c r="G1344" s="2"/>
      <c r="H1344" s="2"/>
      <c r="I1344" s="2"/>
    </row>
    <row r="1345" spans="1:9">
      <c r="A1345" s="2"/>
      <c r="B1345" s="2"/>
      <c r="C1345" s="2"/>
      <c r="D1345" s="2"/>
      <c r="E1345" s="2"/>
      <c r="F1345" s="2"/>
      <c r="G1345" s="2"/>
      <c r="H1345" s="2"/>
      <c r="I1345" s="2"/>
    </row>
    <row r="1346" spans="1:9">
      <c r="A1346" s="2"/>
      <c r="B1346" s="2"/>
      <c r="C1346" s="2"/>
      <c r="D1346" s="2"/>
      <c r="E1346" s="2"/>
      <c r="F1346" s="2"/>
      <c r="G1346" s="2"/>
      <c r="H1346" s="2"/>
      <c r="I1346" s="2"/>
    </row>
    <row r="1347" spans="1:9">
      <c r="A1347" s="2"/>
      <c r="B1347" s="2"/>
      <c r="C1347" s="2"/>
      <c r="D1347" s="2"/>
      <c r="E1347" s="2"/>
      <c r="F1347" s="2"/>
      <c r="G1347" s="2"/>
      <c r="H1347" s="2"/>
      <c r="I1347" s="2"/>
    </row>
    <row r="1348" spans="1:9">
      <c r="A1348" s="2"/>
      <c r="B1348" s="2"/>
      <c r="C1348" s="2"/>
      <c r="D1348" s="2"/>
      <c r="E1348" s="2"/>
      <c r="F1348" s="2"/>
      <c r="G1348" s="2"/>
      <c r="H1348" s="2"/>
      <c r="I1348" s="2"/>
    </row>
    <row r="1349" spans="1:9">
      <c r="A1349" s="3"/>
      <c r="B1349" s="3"/>
      <c r="C1349" s="3"/>
      <c r="D1349" s="3"/>
      <c r="E1349" s="3"/>
      <c r="F1349" s="3"/>
      <c r="G1349" s="3"/>
      <c r="H1349" s="3"/>
      <c r="I1349" s="3"/>
    </row>
    <row r="1351" spans="1:9">
      <c r="A1351" s="4"/>
      <c r="B1351" s="4"/>
      <c r="C1351" s="4"/>
      <c r="D1351" s="4"/>
      <c r="E1351" s="4"/>
      <c r="F1351" s="4"/>
      <c r="G1351" s="4"/>
      <c r="H1351" s="4"/>
      <c r="I1351" s="4"/>
    </row>
    <row r="1352" spans="1:9">
      <c r="A1352" s="1"/>
    </row>
    <row r="1353" spans="1:9">
      <c r="A1353" s="2"/>
      <c r="B1353" s="2"/>
      <c r="C1353" s="2"/>
      <c r="D1353" s="2"/>
      <c r="E1353" s="2"/>
      <c r="F1353" s="2"/>
      <c r="G1353" s="2"/>
      <c r="H1353" s="2"/>
      <c r="I1353" s="2"/>
    </row>
    <row r="1354" spans="1:9">
      <c r="A1354" s="2"/>
      <c r="B1354" s="2"/>
      <c r="C1354" s="2"/>
      <c r="D1354" s="2"/>
      <c r="E1354" s="2"/>
      <c r="F1354" s="2"/>
      <c r="G1354" s="2"/>
      <c r="H1354" s="2"/>
      <c r="I1354" s="2"/>
    </row>
    <row r="1355" spans="1:9">
      <c r="A1355" s="2"/>
      <c r="B1355" s="2"/>
      <c r="C1355" s="2"/>
      <c r="D1355" s="2"/>
      <c r="E1355" s="2"/>
      <c r="F1355" s="2"/>
      <c r="G1355" s="2"/>
      <c r="H1355" s="2"/>
      <c r="I1355" s="2"/>
    </row>
    <row r="1356" spans="1:9">
      <c r="A1356" s="2"/>
      <c r="B1356" s="2"/>
      <c r="C1356" s="2"/>
      <c r="D1356" s="2"/>
      <c r="E1356" s="2"/>
      <c r="F1356" s="2"/>
      <c r="G1356" s="2"/>
      <c r="H1356" s="2"/>
      <c r="I1356" s="2"/>
    </row>
    <row r="1357" spans="1:9">
      <c r="A1357" s="2"/>
      <c r="B1357" s="2"/>
      <c r="C1357" s="2"/>
      <c r="D1357" s="2"/>
      <c r="E1357" s="2"/>
      <c r="F1357" s="2"/>
      <c r="G1357" s="2"/>
      <c r="H1357" s="2"/>
      <c r="I1357" s="2"/>
    </row>
    <row r="1358" spans="1:9">
      <c r="A1358" s="2"/>
      <c r="B1358" s="2"/>
      <c r="C1358" s="2"/>
      <c r="D1358" s="2"/>
      <c r="E1358" s="2"/>
      <c r="F1358" s="2"/>
      <c r="G1358" s="2"/>
      <c r="H1358" s="2"/>
      <c r="I1358" s="2"/>
    </row>
    <row r="1359" spans="1:9">
      <c r="A1359" s="3"/>
      <c r="B1359" s="3"/>
      <c r="C1359" s="3"/>
      <c r="D1359" s="3"/>
      <c r="E1359" s="3"/>
      <c r="F1359" s="3"/>
      <c r="G1359" s="3"/>
      <c r="H1359" s="3"/>
      <c r="I1359" s="3"/>
    </row>
    <row r="1361" spans="1:9">
      <c r="A1361" s="4"/>
      <c r="B1361" s="4"/>
      <c r="C1361" s="4"/>
      <c r="D1361" s="4"/>
      <c r="E1361" s="4"/>
      <c r="F1361" s="4"/>
      <c r="G1361" s="4"/>
      <c r="H1361" s="4"/>
      <c r="I1361" s="4"/>
    </row>
    <row r="1362" spans="1:9">
      <c r="A1362" s="1"/>
    </row>
    <row r="1363" spans="1:9">
      <c r="A1363" s="2"/>
      <c r="B1363" s="2"/>
      <c r="C1363" s="2"/>
      <c r="D1363" s="2"/>
      <c r="E1363" s="2"/>
      <c r="F1363" s="2"/>
      <c r="G1363" s="2"/>
      <c r="H1363" s="2"/>
      <c r="I1363" s="2"/>
    </row>
    <row r="1364" spans="1:9">
      <c r="A1364" s="2"/>
      <c r="B1364" s="2"/>
      <c r="C1364" s="2"/>
      <c r="D1364" s="2"/>
      <c r="E1364" s="2"/>
      <c r="F1364" s="2"/>
      <c r="G1364" s="2"/>
      <c r="H1364" s="2"/>
      <c r="I1364" s="2"/>
    </row>
    <row r="1365" spans="1:9">
      <c r="A1365" s="2"/>
      <c r="B1365" s="2"/>
      <c r="C1365" s="2"/>
      <c r="D1365" s="2"/>
      <c r="E1365" s="2"/>
      <c r="F1365" s="2"/>
      <c r="G1365" s="2"/>
      <c r="H1365" s="2"/>
      <c r="I1365" s="2"/>
    </row>
    <row r="1366" spans="1:9">
      <c r="A1366" s="2"/>
      <c r="B1366" s="2"/>
      <c r="C1366" s="2"/>
      <c r="D1366" s="2"/>
      <c r="E1366" s="2"/>
      <c r="F1366" s="2"/>
      <c r="G1366" s="2"/>
      <c r="H1366" s="2"/>
      <c r="I1366" s="2"/>
    </row>
    <row r="1367" spans="1:9">
      <c r="A1367" s="2"/>
      <c r="B1367" s="2"/>
      <c r="C1367" s="2"/>
      <c r="D1367" s="2"/>
      <c r="E1367" s="2"/>
      <c r="F1367" s="2"/>
      <c r="G1367" s="2"/>
      <c r="H1367" s="2"/>
      <c r="I1367" s="2"/>
    </row>
    <row r="1368" spans="1:9">
      <c r="A1368" s="2"/>
      <c r="B1368" s="2"/>
      <c r="C1368" s="2"/>
      <c r="D1368" s="2"/>
      <c r="E1368" s="2"/>
      <c r="F1368" s="2"/>
      <c r="G1368" s="2"/>
      <c r="H1368" s="2"/>
      <c r="I1368" s="2"/>
    </row>
    <row r="1370" spans="1:9">
      <c r="A1370" s="4"/>
      <c r="B1370" s="4"/>
      <c r="C1370" s="4"/>
      <c r="D1370" s="4"/>
      <c r="E1370" s="4"/>
      <c r="F1370" s="4"/>
      <c r="G1370" s="4"/>
      <c r="H1370" s="4"/>
      <c r="I1370" s="4"/>
    </row>
    <row r="1371" spans="1:9">
      <c r="A1371" s="4"/>
      <c r="B1371" s="4"/>
      <c r="C1371" s="4"/>
      <c r="D1371" s="4"/>
      <c r="E1371" s="4"/>
      <c r="F1371" s="4"/>
      <c r="G1371" s="4"/>
      <c r="H1371" s="4"/>
      <c r="I1371" s="4"/>
    </row>
    <row r="1372" spans="1:9">
      <c r="A1372" s="1"/>
    </row>
    <row r="1373" spans="1:9">
      <c r="A1373" s="2"/>
      <c r="B1373" s="2"/>
      <c r="C1373" s="2"/>
      <c r="D1373" s="2"/>
      <c r="E1373" s="2"/>
      <c r="F1373" s="2"/>
      <c r="G1373" s="2"/>
      <c r="H1373" s="2"/>
      <c r="I1373" s="2"/>
    </row>
    <row r="1374" spans="1:9">
      <c r="A1374" s="2"/>
      <c r="B1374" s="2"/>
      <c r="C1374" s="2"/>
      <c r="D1374" s="2"/>
      <c r="E1374" s="2"/>
      <c r="F1374" s="2"/>
      <c r="G1374" s="2"/>
      <c r="H1374" s="2"/>
      <c r="I1374" s="2"/>
    </row>
    <row r="1375" spans="1:9">
      <c r="A1375" s="2"/>
      <c r="B1375" s="2"/>
      <c r="C1375" s="2"/>
      <c r="D1375" s="2"/>
      <c r="E1375" s="2"/>
      <c r="F1375" s="2"/>
      <c r="G1375" s="2"/>
      <c r="H1375" s="2"/>
      <c r="I1375" s="2"/>
    </row>
    <row r="1376" spans="1:9">
      <c r="A1376" s="2"/>
      <c r="B1376" s="2"/>
      <c r="C1376" s="2"/>
      <c r="D1376" s="2"/>
      <c r="E1376" s="2"/>
      <c r="F1376" s="2"/>
      <c r="G1376" s="2"/>
      <c r="H1376" s="2"/>
      <c r="I1376" s="2"/>
    </row>
    <row r="1377" spans="1:9">
      <c r="A1377" s="2"/>
      <c r="B1377" s="2"/>
      <c r="C1377" s="2"/>
      <c r="D1377" s="2"/>
      <c r="E1377" s="2"/>
      <c r="F1377" s="2"/>
      <c r="G1377" s="2"/>
      <c r="H1377" s="2"/>
      <c r="I1377" s="2"/>
    </row>
    <row r="1378" spans="1:9">
      <c r="A1378" s="2"/>
      <c r="B1378" s="2"/>
      <c r="C1378" s="2"/>
      <c r="D1378" s="2"/>
      <c r="E1378" s="2"/>
      <c r="F1378" s="2"/>
      <c r="G1378" s="2"/>
      <c r="H1378" s="2"/>
      <c r="I1378" s="2"/>
    </row>
    <row r="1379" spans="1:9">
      <c r="A1379" s="3"/>
      <c r="B1379" s="3"/>
      <c r="C1379" s="3"/>
      <c r="D1379" s="3"/>
      <c r="E1379" s="3"/>
      <c r="F1379" s="3"/>
      <c r="G1379" s="3"/>
      <c r="H1379" s="3"/>
      <c r="I1379" s="3"/>
    </row>
    <row r="1381" spans="1:9">
      <c r="A1381" s="4"/>
      <c r="B1381" s="4"/>
      <c r="C1381" s="4"/>
      <c r="D1381" s="4"/>
      <c r="E1381" s="4"/>
      <c r="F1381" s="4"/>
      <c r="G1381" s="4"/>
      <c r="H1381" s="4"/>
      <c r="I1381" s="4"/>
    </row>
    <row r="1382" spans="1:9">
      <c r="A1382" s="1"/>
    </row>
    <row r="1383" spans="1:9">
      <c r="A1383" s="2"/>
      <c r="B1383" s="2"/>
      <c r="C1383" s="2"/>
      <c r="D1383" s="2"/>
      <c r="E1383" s="2"/>
      <c r="F1383" s="2"/>
      <c r="G1383" s="2"/>
      <c r="H1383" s="2"/>
      <c r="I1383" s="2"/>
    </row>
    <row r="1384" spans="1:9">
      <c r="A1384" s="2"/>
      <c r="B1384" s="2"/>
      <c r="C1384" s="2"/>
      <c r="D1384" s="2"/>
      <c r="E1384" s="2"/>
      <c r="F1384" s="2"/>
      <c r="G1384" s="2"/>
      <c r="H1384" s="2"/>
      <c r="I1384" s="2"/>
    </row>
    <row r="1385" spans="1:9">
      <c r="A1385" s="2"/>
      <c r="B1385" s="2"/>
      <c r="C1385" s="2"/>
      <c r="D1385" s="2"/>
      <c r="E1385" s="2"/>
      <c r="F1385" s="2"/>
      <c r="G1385" s="2"/>
      <c r="H1385" s="2"/>
      <c r="I1385" s="2"/>
    </row>
    <row r="1386" spans="1:9">
      <c r="A1386" s="2"/>
      <c r="B1386" s="2"/>
      <c r="C1386" s="2"/>
      <c r="D1386" s="2"/>
      <c r="E1386" s="2"/>
      <c r="F1386" s="2"/>
      <c r="G1386" s="2"/>
      <c r="H1386" s="2"/>
      <c r="I1386" s="2"/>
    </row>
    <row r="1387" spans="1:9">
      <c r="A1387" s="2"/>
      <c r="B1387" s="2"/>
      <c r="C1387" s="2"/>
      <c r="D1387" s="2"/>
      <c r="E1387" s="2"/>
      <c r="F1387" s="2"/>
      <c r="G1387" s="2"/>
      <c r="H1387" s="2"/>
      <c r="I1387" s="2"/>
    </row>
    <row r="1388" spans="1:9">
      <c r="A1388" s="2"/>
      <c r="B1388" s="2"/>
      <c r="C1388" s="2"/>
      <c r="D1388" s="2"/>
      <c r="E1388" s="2"/>
      <c r="F1388" s="2"/>
      <c r="G1388" s="2"/>
      <c r="H1388" s="2"/>
      <c r="I1388" s="2"/>
    </row>
    <row r="1389" spans="1:9">
      <c r="A1389" s="3"/>
      <c r="B1389" s="3"/>
      <c r="C1389" s="3"/>
      <c r="D1389" s="3"/>
      <c r="E1389" s="3"/>
      <c r="F1389" s="3"/>
      <c r="G1389" s="3"/>
      <c r="H1389" s="3"/>
      <c r="I1389" s="3"/>
    </row>
    <row r="1391" spans="1:9">
      <c r="A1391" s="4"/>
      <c r="B1391" s="4"/>
      <c r="C1391" s="4"/>
      <c r="D1391" s="4"/>
      <c r="E1391" s="4"/>
      <c r="F1391" s="4"/>
      <c r="G1391" s="4"/>
      <c r="H1391" s="4"/>
      <c r="I1391" s="4"/>
    </row>
    <row r="1392" spans="1:9">
      <c r="A1392" s="1"/>
    </row>
    <row r="1393" spans="1:9">
      <c r="A1393" s="2"/>
      <c r="B1393" s="2"/>
      <c r="C1393" s="2"/>
      <c r="D1393" s="2"/>
      <c r="E1393" s="2"/>
      <c r="F1393" s="2"/>
      <c r="G1393" s="2"/>
      <c r="H1393" s="2"/>
      <c r="I1393" s="2"/>
    </row>
    <row r="1394" spans="1:9">
      <c r="A1394" s="2"/>
      <c r="B1394" s="2"/>
      <c r="C1394" s="2"/>
      <c r="D1394" s="2"/>
      <c r="E1394" s="2"/>
      <c r="F1394" s="2"/>
      <c r="G1394" s="2"/>
      <c r="H1394" s="2"/>
      <c r="I1394" s="2"/>
    </row>
    <row r="1395" spans="1:9">
      <c r="A1395" s="2"/>
      <c r="B1395" s="2"/>
      <c r="C1395" s="2"/>
      <c r="D1395" s="2"/>
      <c r="E1395" s="2"/>
      <c r="F1395" s="2"/>
      <c r="G1395" s="2"/>
      <c r="H1395" s="2"/>
      <c r="I1395" s="2"/>
    </row>
    <row r="1396" spans="1:9">
      <c r="A1396" s="2"/>
      <c r="B1396" s="2"/>
      <c r="C1396" s="2"/>
      <c r="D1396" s="2"/>
      <c r="E1396" s="2"/>
      <c r="F1396" s="2"/>
      <c r="G1396" s="2"/>
      <c r="H1396" s="2"/>
      <c r="I1396" s="2"/>
    </row>
    <row r="1397" spans="1:9">
      <c r="A1397" s="2"/>
      <c r="B1397" s="2"/>
      <c r="C1397" s="2"/>
      <c r="D1397" s="2"/>
      <c r="E1397" s="2"/>
      <c r="F1397" s="2"/>
      <c r="G1397" s="2"/>
      <c r="H1397" s="2"/>
      <c r="I1397" s="2"/>
    </row>
    <row r="1398" spans="1:9">
      <c r="A1398" s="2"/>
      <c r="B1398" s="2"/>
      <c r="C1398" s="2"/>
      <c r="D1398" s="2"/>
      <c r="E1398" s="2"/>
      <c r="F1398" s="2"/>
      <c r="G1398" s="2"/>
      <c r="H1398" s="2"/>
      <c r="I1398" s="2"/>
    </row>
    <row r="1400" spans="1:9">
      <c r="A1400" s="4"/>
      <c r="B1400" s="4"/>
      <c r="C1400" s="4"/>
      <c r="D1400" s="4"/>
      <c r="E1400" s="4"/>
      <c r="F1400" s="4"/>
      <c r="G1400" s="4"/>
      <c r="H1400" s="4"/>
      <c r="I1400" s="4"/>
    </row>
    <row r="1401" spans="1:9">
      <c r="A1401" s="4"/>
      <c r="B1401" s="4"/>
      <c r="C1401" s="4"/>
      <c r="D1401" s="4"/>
      <c r="E1401" s="4"/>
      <c r="F1401" s="4"/>
      <c r="G1401" s="4"/>
      <c r="H1401" s="4"/>
      <c r="I1401" s="4"/>
    </row>
    <row r="1402" spans="1:9">
      <c r="A1402" s="1"/>
    </row>
    <row r="1403" spans="1:9">
      <c r="A1403" s="2"/>
      <c r="B1403" s="2"/>
      <c r="C1403" s="2"/>
      <c r="D1403" s="2"/>
      <c r="E1403" s="2"/>
      <c r="F1403" s="2"/>
      <c r="G1403" s="2"/>
      <c r="H1403" s="2"/>
      <c r="I1403" s="2"/>
    </row>
    <row r="1404" spans="1:9">
      <c r="A1404" s="2"/>
      <c r="B1404" s="2"/>
      <c r="C1404" s="2"/>
      <c r="D1404" s="2"/>
      <c r="E1404" s="2"/>
      <c r="F1404" s="2"/>
      <c r="G1404" s="2"/>
      <c r="H1404" s="2"/>
      <c r="I1404" s="2"/>
    </row>
    <row r="1405" spans="1:9">
      <c r="A1405" s="2"/>
      <c r="B1405" s="2"/>
      <c r="C1405" s="2"/>
      <c r="D1405" s="2"/>
      <c r="E1405" s="2"/>
      <c r="F1405" s="2"/>
      <c r="G1405" s="2"/>
      <c r="H1405" s="2"/>
      <c r="I1405" s="2"/>
    </row>
    <row r="1406" spans="1:9">
      <c r="A1406" s="2"/>
      <c r="B1406" s="2"/>
      <c r="C1406" s="2"/>
      <c r="D1406" s="2"/>
      <c r="E1406" s="2"/>
      <c r="F1406" s="2"/>
      <c r="G1406" s="2"/>
      <c r="H1406" s="2"/>
      <c r="I1406" s="2"/>
    </row>
    <row r="1407" spans="1:9">
      <c r="A1407" s="2"/>
      <c r="B1407" s="2"/>
      <c r="C1407" s="2"/>
      <c r="D1407" s="2"/>
      <c r="E1407" s="2"/>
      <c r="F1407" s="2"/>
      <c r="G1407" s="2"/>
      <c r="H1407" s="2"/>
      <c r="I1407" s="2"/>
    </row>
    <row r="1408" spans="1:9">
      <c r="A1408" s="2"/>
      <c r="B1408" s="2"/>
      <c r="C1408" s="2"/>
      <c r="D1408" s="2"/>
      <c r="E1408" s="2"/>
      <c r="F1408" s="2"/>
      <c r="G1408" s="2"/>
      <c r="H1408" s="2"/>
      <c r="I1408" s="2"/>
    </row>
    <row r="1409" spans="1:9">
      <c r="A1409" s="3"/>
      <c r="B1409" s="3"/>
      <c r="C1409" s="3"/>
      <c r="D1409" s="3"/>
      <c r="E1409" s="3"/>
      <c r="F1409" s="3"/>
      <c r="G1409" s="3"/>
      <c r="H1409" s="3"/>
      <c r="I1409" s="3"/>
    </row>
    <row r="1411" spans="1:9">
      <c r="A1411" s="4"/>
      <c r="B1411" s="4"/>
      <c r="C1411" s="4"/>
      <c r="D1411" s="4"/>
      <c r="E1411" s="4"/>
      <c r="F1411" s="4"/>
      <c r="G1411" s="4"/>
      <c r="H1411" s="4"/>
      <c r="I1411" s="4"/>
    </row>
    <row r="1412" spans="1:9">
      <c r="A1412" s="1"/>
    </row>
    <row r="1413" spans="1:9">
      <c r="A1413" s="2"/>
      <c r="B1413" s="2"/>
      <c r="C1413" s="2"/>
      <c r="D1413" s="2"/>
      <c r="E1413" s="2"/>
      <c r="F1413" s="2"/>
      <c r="G1413" s="2"/>
      <c r="H1413" s="2"/>
      <c r="I1413" s="2"/>
    </row>
    <row r="1414" spans="1:9">
      <c r="A1414" s="2"/>
      <c r="B1414" s="2"/>
      <c r="C1414" s="2"/>
      <c r="D1414" s="2"/>
      <c r="E1414" s="2"/>
      <c r="F1414" s="2"/>
      <c r="G1414" s="2"/>
      <c r="H1414" s="2"/>
      <c r="I1414" s="2"/>
    </row>
    <row r="1415" spans="1:9">
      <c r="A1415" s="2"/>
      <c r="B1415" s="2"/>
      <c r="C1415" s="2"/>
      <c r="D1415" s="2"/>
      <c r="E1415" s="2"/>
      <c r="F1415" s="2"/>
      <c r="G1415" s="2"/>
      <c r="H1415" s="2"/>
      <c r="I1415" s="2"/>
    </row>
    <row r="1416" spans="1:9">
      <c r="A1416" s="2"/>
      <c r="B1416" s="2"/>
      <c r="C1416" s="2"/>
      <c r="D1416" s="2"/>
      <c r="E1416" s="2"/>
      <c r="F1416" s="2"/>
      <c r="G1416" s="2"/>
      <c r="H1416" s="2"/>
      <c r="I1416" s="2"/>
    </row>
    <row r="1417" spans="1:9">
      <c r="A1417" s="2"/>
      <c r="B1417" s="2"/>
      <c r="C1417" s="2"/>
      <c r="D1417" s="2"/>
      <c r="E1417" s="2"/>
      <c r="F1417" s="2"/>
      <c r="G1417" s="2"/>
      <c r="H1417" s="2"/>
      <c r="I1417" s="2"/>
    </row>
    <row r="1418" spans="1:9">
      <c r="A1418" s="2"/>
      <c r="B1418" s="2"/>
      <c r="C1418" s="2"/>
      <c r="D1418" s="2"/>
      <c r="E1418" s="2"/>
      <c r="F1418" s="2"/>
      <c r="G1418" s="2"/>
      <c r="H1418" s="2"/>
      <c r="I1418" s="2"/>
    </row>
    <row r="1419" spans="1:9">
      <c r="A1419" s="3"/>
      <c r="B1419" s="3"/>
      <c r="C1419" s="3"/>
      <c r="D1419" s="3"/>
      <c r="E1419" s="3"/>
      <c r="F1419" s="3"/>
      <c r="G1419" s="3"/>
      <c r="H1419" s="3"/>
      <c r="I1419" s="3"/>
    </row>
    <row r="1421" spans="1:9">
      <c r="A1421" s="4"/>
      <c r="B1421" s="4"/>
      <c r="C1421" s="4"/>
      <c r="D1421" s="4"/>
      <c r="E1421" s="4"/>
      <c r="F1421" s="4"/>
      <c r="G1421" s="4"/>
      <c r="H1421" s="4"/>
      <c r="I1421" s="4"/>
    </row>
    <row r="1422" spans="1:9">
      <c r="A1422" s="1"/>
    </row>
    <row r="1423" spans="1:9">
      <c r="A1423" s="2"/>
      <c r="B1423" s="2"/>
      <c r="C1423" s="2"/>
      <c r="D1423" s="2"/>
      <c r="E1423" s="2"/>
      <c r="F1423" s="2"/>
      <c r="G1423" s="2"/>
      <c r="H1423" s="2"/>
      <c r="I1423" s="2"/>
    </row>
    <row r="1424" spans="1:9">
      <c r="A1424" s="2"/>
      <c r="B1424" s="2"/>
      <c r="C1424" s="2"/>
      <c r="D1424" s="2"/>
      <c r="E1424" s="2"/>
      <c r="F1424" s="2"/>
      <c r="G1424" s="2"/>
      <c r="H1424" s="2"/>
      <c r="I1424" s="2"/>
    </row>
    <row r="1425" spans="1:9">
      <c r="A1425" s="2"/>
      <c r="B1425" s="2"/>
      <c r="C1425" s="2"/>
      <c r="D1425" s="2"/>
      <c r="E1425" s="2"/>
      <c r="F1425" s="2"/>
      <c r="G1425" s="2"/>
      <c r="H1425" s="2"/>
      <c r="I1425" s="2"/>
    </row>
    <row r="1426" spans="1:9">
      <c r="A1426" s="2"/>
      <c r="B1426" s="2"/>
      <c r="C1426" s="2"/>
      <c r="D1426" s="2"/>
      <c r="E1426" s="2"/>
      <c r="F1426" s="2"/>
      <c r="G1426" s="2"/>
      <c r="H1426" s="2"/>
      <c r="I1426" s="2"/>
    </row>
    <row r="1427" spans="1:9">
      <c r="A1427" s="2"/>
      <c r="B1427" s="2"/>
      <c r="C1427" s="2"/>
      <c r="D1427" s="2"/>
      <c r="E1427" s="2"/>
      <c r="F1427" s="2"/>
      <c r="G1427" s="2"/>
      <c r="H1427" s="2"/>
      <c r="I1427" s="2"/>
    </row>
    <row r="1428" spans="1:9">
      <c r="A1428" s="2"/>
      <c r="B1428" s="2"/>
      <c r="C1428" s="2"/>
      <c r="D1428" s="2"/>
      <c r="E1428" s="2"/>
      <c r="F1428" s="2"/>
      <c r="G1428" s="2"/>
      <c r="H1428" s="2"/>
      <c r="I1428" s="2"/>
    </row>
    <row r="1430" spans="1:9">
      <c r="A1430" s="4"/>
      <c r="B1430" s="4"/>
      <c r="C1430" s="4"/>
      <c r="D1430" s="4"/>
      <c r="E1430" s="4"/>
      <c r="F1430" s="4"/>
      <c r="G1430" s="4"/>
      <c r="H1430" s="4"/>
      <c r="I1430" s="4"/>
    </row>
    <row r="1431" spans="1:9">
      <c r="A1431" s="4"/>
      <c r="B1431" s="4"/>
      <c r="C1431" s="4"/>
      <c r="D1431" s="4"/>
      <c r="E1431" s="4"/>
      <c r="F1431" s="4"/>
      <c r="G1431" s="4"/>
      <c r="H1431" s="4"/>
      <c r="I1431" s="4"/>
    </row>
    <row r="1432" spans="1:9">
      <c r="A1432" s="1"/>
    </row>
    <row r="1433" spans="1:9">
      <c r="A1433" s="2"/>
      <c r="B1433" s="2"/>
      <c r="C1433" s="2"/>
      <c r="D1433" s="2"/>
      <c r="E1433" s="2"/>
      <c r="F1433" s="2"/>
      <c r="G1433" s="2"/>
      <c r="H1433" s="2"/>
      <c r="I1433" s="2"/>
    </row>
    <row r="1434" spans="1:9">
      <c r="A1434" s="2"/>
      <c r="B1434" s="2"/>
      <c r="C1434" s="2"/>
      <c r="D1434" s="2"/>
      <c r="E1434" s="2"/>
      <c r="F1434" s="2"/>
      <c r="G1434" s="2"/>
      <c r="H1434" s="2"/>
      <c r="I1434" s="2"/>
    </row>
    <row r="1435" spans="1:9">
      <c r="A1435" s="2"/>
      <c r="B1435" s="2"/>
      <c r="C1435" s="2"/>
      <c r="D1435" s="2"/>
      <c r="E1435" s="2"/>
      <c r="F1435" s="2"/>
      <c r="G1435" s="2"/>
      <c r="H1435" s="2"/>
      <c r="I1435" s="2"/>
    </row>
    <row r="1436" spans="1:9">
      <c r="A1436" s="2"/>
      <c r="B1436" s="2"/>
      <c r="C1436" s="2"/>
      <c r="D1436" s="2"/>
      <c r="E1436" s="2"/>
      <c r="F1436" s="2"/>
      <c r="G1436" s="2"/>
      <c r="H1436" s="2"/>
      <c r="I1436" s="2"/>
    </row>
    <row r="1437" spans="1:9">
      <c r="A1437" s="2"/>
      <c r="B1437" s="2"/>
      <c r="C1437" s="2"/>
      <c r="D1437" s="2"/>
      <c r="E1437" s="2"/>
      <c r="F1437" s="2"/>
      <c r="G1437" s="2"/>
      <c r="H1437" s="2"/>
      <c r="I1437" s="2"/>
    </row>
    <row r="1438" spans="1:9">
      <c r="A1438" s="2"/>
      <c r="B1438" s="2"/>
      <c r="C1438" s="2"/>
      <c r="D1438" s="2"/>
      <c r="E1438" s="2"/>
      <c r="F1438" s="2"/>
      <c r="G1438" s="2"/>
      <c r="H1438" s="2"/>
      <c r="I1438" s="2"/>
    </row>
    <row r="1439" spans="1:9">
      <c r="A1439" s="3"/>
      <c r="B1439" s="3"/>
      <c r="C1439" s="3"/>
      <c r="D1439" s="3"/>
      <c r="E1439" s="3"/>
      <c r="F1439" s="3"/>
      <c r="G1439" s="3"/>
      <c r="H1439" s="3"/>
      <c r="I1439" s="3"/>
    </row>
    <row r="1441" spans="1:9">
      <c r="A1441" s="4"/>
      <c r="B1441" s="4"/>
      <c r="C1441" s="4"/>
      <c r="D1441" s="4"/>
      <c r="E1441" s="4"/>
      <c r="F1441" s="4"/>
      <c r="G1441" s="4"/>
      <c r="H1441" s="4"/>
      <c r="I1441" s="4"/>
    </row>
    <row r="1442" spans="1:9">
      <c r="A1442" s="1"/>
    </row>
    <row r="1443" spans="1:9">
      <c r="A1443" s="2"/>
      <c r="B1443" s="2"/>
      <c r="C1443" s="2"/>
      <c r="D1443" s="2"/>
      <c r="E1443" s="2"/>
      <c r="F1443" s="2"/>
      <c r="G1443" s="2"/>
      <c r="H1443" s="2"/>
      <c r="I1443" s="2"/>
    </row>
    <row r="1444" spans="1:9">
      <c r="A1444" s="2"/>
      <c r="B1444" s="2"/>
      <c r="C1444" s="2"/>
      <c r="D1444" s="2"/>
      <c r="E1444" s="2"/>
      <c r="F1444" s="2"/>
      <c r="G1444" s="2"/>
      <c r="H1444" s="2"/>
      <c r="I1444" s="2"/>
    </row>
    <row r="1445" spans="1:9">
      <c r="A1445" s="2"/>
      <c r="B1445" s="2"/>
      <c r="C1445" s="2"/>
      <c r="D1445" s="2"/>
      <c r="E1445" s="2"/>
      <c r="F1445" s="2"/>
      <c r="G1445" s="2"/>
      <c r="H1445" s="2"/>
      <c r="I1445" s="2"/>
    </row>
    <row r="1446" spans="1:9">
      <c r="A1446" s="2"/>
      <c r="B1446" s="2"/>
      <c r="C1446" s="2"/>
      <c r="D1446" s="2"/>
      <c r="E1446" s="2"/>
      <c r="F1446" s="2"/>
      <c r="G1446" s="2"/>
      <c r="H1446" s="2"/>
      <c r="I1446" s="2"/>
    </row>
    <row r="1447" spans="1:9">
      <c r="A1447" s="2"/>
      <c r="B1447" s="2"/>
      <c r="C1447" s="2"/>
      <c r="D1447" s="2"/>
      <c r="E1447" s="2"/>
      <c r="F1447" s="2"/>
      <c r="G1447" s="2"/>
      <c r="H1447" s="2"/>
      <c r="I1447" s="2"/>
    </row>
    <row r="1448" spans="1:9">
      <c r="A1448" s="2"/>
      <c r="B1448" s="2"/>
      <c r="C1448" s="2"/>
      <c r="D1448" s="2"/>
      <c r="E1448" s="2"/>
      <c r="F1448" s="2"/>
      <c r="G1448" s="2"/>
      <c r="H1448" s="2"/>
      <c r="I1448" s="2"/>
    </row>
    <row r="1449" spans="1:9">
      <c r="A1449" s="3"/>
      <c r="B1449" s="3"/>
      <c r="C1449" s="3"/>
      <c r="D1449" s="3"/>
      <c r="E1449" s="3"/>
      <c r="F1449" s="3"/>
      <c r="G1449" s="3"/>
      <c r="H1449" s="3"/>
      <c r="I1449" s="3"/>
    </row>
    <row r="1451" spans="1:9">
      <c r="A1451" s="4"/>
      <c r="B1451" s="4"/>
      <c r="C1451" s="4"/>
      <c r="D1451" s="4"/>
      <c r="E1451" s="4"/>
      <c r="F1451" s="4"/>
      <c r="G1451" s="4"/>
      <c r="H1451" s="4"/>
      <c r="I1451" s="4"/>
    </row>
    <row r="1452" spans="1:9">
      <c r="A1452" s="1"/>
    </row>
    <row r="1453" spans="1:9">
      <c r="A1453" s="2"/>
      <c r="B1453" s="2"/>
      <c r="C1453" s="2"/>
      <c r="D1453" s="2"/>
      <c r="E1453" s="2"/>
      <c r="F1453" s="2"/>
      <c r="G1453" s="2"/>
      <c r="H1453" s="2"/>
      <c r="I1453" s="2"/>
    </row>
    <row r="1454" spans="1:9">
      <c r="A1454" s="2"/>
      <c r="B1454" s="2"/>
      <c r="C1454" s="2"/>
      <c r="D1454" s="2"/>
      <c r="E1454" s="2"/>
      <c r="F1454" s="2"/>
      <c r="G1454" s="2"/>
      <c r="H1454" s="2"/>
      <c r="I1454" s="2"/>
    </row>
    <row r="1455" spans="1:9">
      <c r="A1455" s="2"/>
      <c r="B1455" s="2"/>
      <c r="C1455" s="2"/>
      <c r="D1455" s="2"/>
      <c r="E1455" s="2"/>
      <c r="F1455" s="2"/>
      <c r="G1455" s="2"/>
      <c r="H1455" s="2"/>
      <c r="I1455" s="2"/>
    </row>
    <row r="1456" spans="1:9">
      <c r="A1456" s="2"/>
      <c r="B1456" s="2"/>
      <c r="C1456" s="2"/>
      <c r="D1456" s="2"/>
      <c r="E1456" s="2"/>
      <c r="F1456" s="2"/>
      <c r="G1456" s="2"/>
      <c r="H1456" s="2"/>
      <c r="I1456" s="2"/>
    </row>
    <row r="1457" spans="1:9">
      <c r="A1457" s="2"/>
      <c r="B1457" s="2"/>
      <c r="C1457" s="2"/>
      <c r="D1457" s="2"/>
      <c r="E1457" s="2"/>
      <c r="F1457" s="2"/>
      <c r="G1457" s="2"/>
      <c r="H1457" s="2"/>
      <c r="I1457" s="2"/>
    </row>
    <row r="1458" spans="1:9">
      <c r="A1458" s="2"/>
      <c r="B1458" s="2"/>
      <c r="C1458" s="2"/>
      <c r="D1458" s="2"/>
      <c r="E1458" s="2"/>
      <c r="F1458" s="2"/>
      <c r="G1458" s="2"/>
      <c r="H1458" s="2"/>
      <c r="I1458" s="2"/>
    </row>
    <row r="1460" spans="1:9">
      <c r="A1460" s="4"/>
      <c r="B1460" s="4"/>
      <c r="C1460" s="4"/>
      <c r="D1460" s="4"/>
      <c r="E1460" s="4"/>
      <c r="F1460" s="4"/>
      <c r="G1460" s="4"/>
      <c r="H1460" s="4"/>
      <c r="I1460" s="4"/>
    </row>
    <row r="1461" spans="1:9">
      <c r="A1461" s="4"/>
      <c r="B1461" s="4"/>
      <c r="C1461" s="4"/>
      <c r="D1461" s="4"/>
      <c r="E1461" s="4"/>
      <c r="F1461" s="4"/>
      <c r="G1461" s="4"/>
      <c r="H1461" s="4"/>
      <c r="I1461" s="4"/>
    </row>
    <row r="1462" spans="1:9">
      <c r="A1462" s="1"/>
    </row>
    <row r="1463" spans="1:9">
      <c r="A1463" s="2"/>
      <c r="B1463" s="2"/>
      <c r="C1463" s="2"/>
      <c r="D1463" s="2"/>
      <c r="E1463" s="2"/>
      <c r="F1463" s="2"/>
      <c r="G1463" s="2"/>
      <c r="H1463" s="2"/>
      <c r="I1463" s="2"/>
    </row>
    <row r="1464" spans="1:9">
      <c r="A1464" s="2"/>
      <c r="B1464" s="2"/>
      <c r="C1464" s="2"/>
      <c r="D1464" s="2"/>
      <c r="E1464" s="2"/>
      <c r="F1464" s="2"/>
      <c r="G1464" s="2"/>
      <c r="H1464" s="2"/>
      <c r="I1464" s="2"/>
    </row>
    <row r="1465" spans="1:9">
      <c r="A1465" s="2"/>
      <c r="B1465" s="2"/>
      <c r="C1465" s="2"/>
      <c r="D1465" s="2"/>
      <c r="E1465" s="2"/>
      <c r="F1465" s="2"/>
      <c r="G1465" s="2"/>
      <c r="H1465" s="2"/>
      <c r="I1465" s="2"/>
    </row>
    <row r="1466" spans="1:9">
      <c r="A1466" s="2"/>
      <c r="B1466" s="2"/>
      <c r="C1466" s="2"/>
      <c r="D1466" s="2"/>
      <c r="E1466" s="2"/>
      <c r="F1466" s="2"/>
      <c r="G1466" s="2"/>
      <c r="H1466" s="2"/>
      <c r="I1466" s="2"/>
    </row>
    <row r="1467" spans="1:9">
      <c r="A1467" s="2"/>
      <c r="B1467" s="2"/>
      <c r="C1467" s="2"/>
      <c r="D1467" s="2"/>
      <c r="E1467" s="2"/>
      <c r="F1467" s="2"/>
      <c r="G1467" s="2"/>
      <c r="H1467" s="2"/>
      <c r="I1467" s="2"/>
    </row>
    <row r="1468" spans="1:9">
      <c r="A1468" s="2"/>
      <c r="B1468" s="2"/>
      <c r="C1468" s="2"/>
      <c r="D1468" s="2"/>
      <c r="E1468" s="2"/>
      <c r="F1468" s="2"/>
      <c r="G1468" s="2"/>
      <c r="H1468" s="2"/>
      <c r="I1468" s="2"/>
    </row>
    <row r="1469" spans="1:9">
      <c r="A1469" s="3"/>
      <c r="B1469" s="3"/>
      <c r="C1469" s="3"/>
      <c r="D1469" s="3"/>
      <c r="E1469" s="3"/>
      <c r="F1469" s="3"/>
      <c r="G1469" s="3"/>
      <c r="H1469" s="3"/>
      <c r="I1469" s="3"/>
    </row>
    <row r="1471" spans="1:9">
      <c r="A1471" s="4"/>
      <c r="B1471" s="4"/>
      <c r="C1471" s="4"/>
      <c r="D1471" s="4"/>
      <c r="E1471" s="4"/>
      <c r="F1471" s="4"/>
      <c r="G1471" s="4"/>
      <c r="H1471" s="4"/>
      <c r="I1471" s="4"/>
    </row>
    <row r="1472" spans="1:9">
      <c r="A1472" s="1"/>
    </row>
    <row r="1473" spans="1:9">
      <c r="A1473" s="2"/>
      <c r="B1473" s="2"/>
      <c r="C1473" s="2"/>
      <c r="D1473" s="2"/>
      <c r="E1473" s="2"/>
      <c r="F1473" s="2"/>
      <c r="G1473" s="2"/>
      <c r="H1473" s="2"/>
      <c r="I1473" s="2"/>
    </row>
    <row r="1474" spans="1:9">
      <c r="A1474" s="2"/>
      <c r="B1474" s="2"/>
      <c r="C1474" s="2"/>
      <c r="D1474" s="2"/>
      <c r="E1474" s="2"/>
      <c r="F1474" s="2"/>
      <c r="G1474" s="2"/>
      <c r="H1474" s="2"/>
      <c r="I1474" s="2"/>
    </row>
    <row r="1475" spans="1:9">
      <c r="A1475" s="2"/>
      <c r="B1475" s="2"/>
      <c r="C1475" s="2"/>
      <c r="D1475" s="2"/>
      <c r="E1475" s="2"/>
      <c r="F1475" s="2"/>
      <c r="G1475" s="2"/>
      <c r="H1475" s="2"/>
      <c r="I1475" s="2"/>
    </row>
    <row r="1476" spans="1:9">
      <c r="A1476" s="2"/>
      <c r="B1476" s="2"/>
      <c r="C1476" s="2"/>
      <c r="D1476" s="2"/>
      <c r="E1476" s="2"/>
      <c r="F1476" s="2"/>
      <c r="G1476" s="2"/>
      <c r="H1476" s="2"/>
      <c r="I1476" s="2"/>
    </row>
    <row r="1477" spans="1:9">
      <c r="A1477" s="2"/>
      <c r="B1477" s="2"/>
      <c r="C1477" s="2"/>
      <c r="D1477" s="2"/>
      <c r="E1477" s="2"/>
      <c r="F1477" s="2"/>
      <c r="G1477" s="2"/>
      <c r="H1477" s="2"/>
      <c r="I1477" s="2"/>
    </row>
    <row r="1478" spans="1:9">
      <c r="A1478" s="2"/>
      <c r="B1478" s="2"/>
      <c r="C1478" s="2"/>
      <c r="D1478" s="2"/>
      <c r="E1478" s="2"/>
      <c r="F1478" s="2"/>
      <c r="G1478" s="2"/>
      <c r="H1478" s="2"/>
      <c r="I1478" s="2"/>
    </row>
    <row r="1479" spans="1:9">
      <c r="A1479" s="3"/>
      <c r="B1479" s="3"/>
      <c r="C1479" s="3"/>
      <c r="D1479" s="3"/>
      <c r="E1479" s="3"/>
      <c r="F1479" s="3"/>
      <c r="G1479" s="3"/>
      <c r="H1479" s="3"/>
      <c r="I1479" s="3"/>
    </row>
    <row r="1481" spans="1:9">
      <c r="A1481" s="4"/>
      <c r="B1481" s="4"/>
      <c r="C1481" s="4"/>
      <c r="D1481" s="4"/>
      <c r="E1481" s="4"/>
      <c r="F1481" s="4"/>
      <c r="G1481" s="4"/>
      <c r="H1481" s="4"/>
      <c r="I1481" s="4"/>
    </row>
    <row r="1482" spans="1:9">
      <c r="A1482" s="1"/>
    </row>
    <row r="1483" spans="1:9">
      <c r="A1483" s="2"/>
      <c r="B1483" s="2"/>
      <c r="C1483" s="2"/>
      <c r="D1483" s="2"/>
      <c r="E1483" s="2"/>
      <c r="F1483" s="2"/>
      <c r="G1483" s="2"/>
      <c r="H1483" s="2"/>
      <c r="I1483" s="2"/>
    </row>
    <row r="1484" spans="1:9">
      <c r="A1484" s="2"/>
      <c r="B1484" s="2"/>
      <c r="C1484" s="2"/>
      <c r="D1484" s="2"/>
      <c r="E1484" s="2"/>
      <c r="F1484" s="2"/>
      <c r="G1484" s="2"/>
      <c r="H1484" s="2"/>
      <c r="I1484" s="2"/>
    </row>
    <row r="1485" spans="1:9">
      <c r="A1485" s="2"/>
      <c r="B1485" s="2"/>
      <c r="C1485" s="2"/>
      <c r="D1485" s="2"/>
      <c r="E1485" s="2"/>
      <c r="F1485" s="2"/>
      <c r="G1485" s="2"/>
      <c r="H1485" s="2"/>
      <c r="I1485" s="2"/>
    </row>
    <row r="1486" spans="1:9">
      <c r="A1486" s="2"/>
      <c r="B1486" s="2"/>
      <c r="C1486" s="2"/>
      <c r="D1486" s="2"/>
      <c r="E1486" s="2"/>
      <c r="F1486" s="2"/>
      <c r="G1486" s="2"/>
      <c r="H1486" s="2"/>
      <c r="I1486" s="2"/>
    </row>
    <row r="1487" spans="1:9">
      <c r="A1487" s="2"/>
      <c r="B1487" s="2"/>
      <c r="C1487" s="2"/>
      <c r="D1487" s="2"/>
      <c r="E1487" s="2"/>
      <c r="F1487" s="2"/>
      <c r="G1487" s="2"/>
      <c r="H1487" s="2"/>
      <c r="I1487" s="2"/>
    </row>
    <row r="1488" spans="1:9">
      <c r="A1488" s="2"/>
      <c r="B1488" s="2"/>
      <c r="C1488" s="2"/>
      <c r="D1488" s="2"/>
      <c r="E1488" s="2"/>
      <c r="F1488" s="2"/>
      <c r="G1488" s="2"/>
      <c r="H1488" s="2"/>
      <c r="I1488" s="2"/>
    </row>
    <row r="1490" spans="1:9">
      <c r="A1490" s="4"/>
      <c r="B1490" s="4"/>
      <c r="C1490" s="4"/>
      <c r="D1490" s="4"/>
      <c r="E1490" s="4"/>
      <c r="F1490" s="4"/>
      <c r="G1490" s="4"/>
      <c r="H1490" s="4"/>
      <c r="I1490" s="4"/>
    </row>
    <row r="1491" spans="1:9">
      <c r="A1491" s="4"/>
      <c r="B1491" s="4"/>
      <c r="C1491" s="4"/>
      <c r="D1491" s="4"/>
      <c r="E1491" s="4"/>
      <c r="F1491" s="4"/>
      <c r="G1491" s="4"/>
      <c r="H1491" s="4"/>
      <c r="I1491" s="4"/>
    </row>
    <row r="1492" spans="1:9">
      <c r="A1492" s="1"/>
    </row>
    <row r="1493" spans="1:9">
      <c r="A1493" s="2"/>
      <c r="B1493" s="2"/>
      <c r="C1493" s="2"/>
      <c r="D1493" s="2"/>
      <c r="E1493" s="2"/>
      <c r="F1493" s="2"/>
      <c r="G1493" s="2"/>
      <c r="H1493" s="2"/>
      <c r="I1493" s="2"/>
    </row>
    <row r="1494" spans="1:9">
      <c r="A1494" s="2"/>
      <c r="B1494" s="2"/>
      <c r="C1494" s="2"/>
      <c r="D1494" s="2"/>
      <c r="E1494" s="2"/>
      <c r="F1494" s="2"/>
      <c r="G1494" s="2"/>
      <c r="H1494" s="2"/>
      <c r="I1494" s="2"/>
    </row>
    <row r="1495" spans="1:9">
      <c r="A1495" s="2"/>
      <c r="B1495" s="2"/>
      <c r="C1495" s="2"/>
      <c r="D1495" s="2"/>
      <c r="E1495" s="2"/>
      <c r="F1495" s="2"/>
      <c r="G1495" s="2"/>
      <c r="H1495" s="2"/>
      <c r="I1495" s="2"/>
    </row>
    <row r="1496" spans="1:9">
      <c r="A1496" s="2"/>
      <c r="B1496" s="2"/>
      <c r="C1496" s="2"/>
      <c r="D1496" s="2"/>
      <c r="E1496" s="2"/>
      <c r="F1496" s="2"/>
      <c r="G1496" s="2"/>
      <c r="H1496" s="2"/>
      <c r="I1496" s="2"/>
    </row>
    <row r="1497" spans="1:9">
      <c r="A1497" s="2"/>
      <c r="B1497" s="2"/>
      <c r="C1497" s="2"/>
      <c r="D1497" s="2"/>
      <c r="E1497" s="2"/>
      <c r="F1497" s="2"/>
      <c r="G1497" s="2"/>
      <c r="H1497" s="2"/>
      <c r="I1497" s="2"/>
    </row>
    <row r="1498" spans="1:9">
      <c r="A1498" s="2"/>
      <c r="B1498" s="2"/>
      <c r="C1498" s="2"/>
      <c r="D1498" s="2"/>
      <c r="E1498" s="2"/>
      <c r="F1498" s="2"/>
      <c r="G1498" s="2"/>
      <c r="H1498" s="2"/>
      <c r="I1498" s="2"/>
    </row>
    <row r="1499" spans="1:9">
      <c r="A1499" s="3"/>
      <c r="B1499" s="3"/>
      <c r="C1499" s="3"/>
      <c r="D1499" s="3"/>
      <c r="E1499" s="3"/>
      <c r="F1499" s="3"/>
      <c r="G1499" s="3"/>
      <c r="H1499" s="3"/>
      <c r="I1499" s="3"/>
    </row>
    <row r="1501" spans="1:9">
      <c r="A1501" s="4"/>
      <c r="B1501" s="4"/>
      <c r="C1501" s="4"/>
      <c r="D1501" s="4"/>
      <c r="E1501" s="4"/>
      <c r="F1501" s="4"/>
      <c r="G1501" s="4"/>
      <c r="H1501" s="4"/>
      <c r="I1501" s="4"/>
    </row>
    <row r="1502" spans="1:9">
      <c r="A1502" s="1"/>
    </row>
    <row r="1503" spans="1:9">
      <c r="A1503" s="2"/>
      <c r="B1503" s="2"/>
      <c r="C1503" s="2"/>
      <c r="D1503" s="2"/>
      <c r="E1503" s="2"/>
      <c r="F1503" s="2"/>
      <c r="G1503" s="2"/>
      <c r="H1503" s="2"/>
      <c r="I1503" s="2"/>
    </row>
    <row r="1504" spans="1:9">
      <c r="A1504" s="2"/>
      <c r="B1504" s="2"/>
      <c r="C1504" s="2"/>
      <c r="D1504" s="2"/>
      <c r="E1504" s="2"/>
      <c r="F1504" s="2"/>
      <c r="G1504" s="2"/>
      <c r="H1504" s="2"/>
      <c r="I1504" s="2"/>
    </row>
    <row r="1505" spans="1:9">
      <c r="A1505" s="2"/>
      <c r="B1505" s="2"/>
      <c r="C1505" s="2"/>
      <c r="D1505" s="2"/>
      <c r="E1505" s="2"/>
      <c r="F1505" s="2"/>
      <c r="G1505" s="2"/>
      <c r="H1505" s="2"/>
      <c r="I1505" s="2"/>
    </row>
    <row r="1506" spans="1:9">
      <c r="A1506" s="2"/>
      <c r="B1506" s="2"/>
      <c r="C1506" s="2"/>
      <c r="D1506" s="2"/>
      <c r="E1506" s="2"/>
      <c r="F1506" s="2"/>
      <c r="G1506" s="2"/>
      <c r="H1506" s="2"/>
      <c r="I1506" s="2"/>
    </row>
    <row r="1507" spans="1:9">
      <c r="A1507" s="2"/>
      <c r="B1507" s="2"/>
      <c r="C1507" s="2"/>
      <c r="D1507" s="2"/>
      <c r="E1507" s="2"/>
      <c r="F1507" s="2"/>
      <c r="G1507" s="2"/>
      <c r="H1507" s="2"/>
      <c r="I1507" s="2"/>
    </row>
    <row r="1508" spans="1:9">
      <c r="A1508" s="2"/>
      <c r="B1508" s="2"/>
      <c r="C1508" s="2"/>
      <c r="D1508" s="2"/>
      <c r="E1508" s="2"/>
      <c r="F1508" s="2"/>
      <c r="G1508" s="2"/>
      <c r="H1508" s="2"/>
      <c r="I1508" s="2"/>
    </row>
    <row r="1509" spans="1:9">
      <c r="A1509" s="3"/>
      <c r="B1509" s="3"/>
      <c r="C1509" s="3"/>
      <c r="D1509" s="3"/>
      <c r="E1509" s="3"/>
      <c r="F1509" s="3"/>
      <c r="G1509" s="3"/>
      <c r="H1509" s="3"/>
      <c r="I1509" s="3"/>
    </row>
    <row r="1511" spans="1:9">
      <c r="A1511" s="4"/>
      <c r="B1511" s="4"/>
      <c r="C1511" s="4"/>
      <c r="D1511" s="4"/>
      <c r="E1511" s="4"/>
      <c r="F1511" s="4"/>
      <c r="G1511" s="4"/>
      <c r="H1511" s="4"/>
      <c r="I1511" s="4"/>
    </row>
    <row r="1512" spans="1:9">
      <c r="A1512" s="1"/>
    </row>
    <row r="1513" spans="1:9">
      <c r="A1513" s="2"/>
      <c r="B1513" s="2"/>
      <c r="C1513" s="2"/>
      <c r="D1513" s="2"/>
      <c r="E1513" s="2"/>
      <c r="F1513" s="2"/>
      <c r="G1513" s="2"/>
      <c r="H1513" s="2"/>
      <c r="I1513" s="2"/>
    </row>
    <row r="1514" spans="1:9">
      <c r="A1514" s="2"/>
      <c r="B1514" s="2"/>
      <c r="C1514" s="2"/>
      <c r="D1514" s="2"/>
      <c r="E1514" s="2"/>
      <c r="F1514" s="2"/>
      <c r="G1514" s="2"/>
      <c r="H1514" s="2"/>
      <c r="I1514" s="2"/>
    </row>
    <row r="1515" spans="1:9">
      <c r="A1515" s="2"/>
      <c r="B1515" s="2"/>
      <c r="C1515" s="2"/>
      <c r="D1515" s="2"/>
      <c r="E1515" s="2"/>
      <c r="F1515" s="2"/>
      <c r="G1515" s="2"/>
      <c r="H1515" s="2"/>
      <c r="I1515" s="2"/>
    </row>
    <row r="1516" spans="1:9">
      <c r="A1516" s="2"/>
      <c r="B1516" s="2"/>
      <c r="C1516" s="2"/>
      <c r="D1516" s="2"/>
      <c r="E1516" s="2"/>
      <c r="F1516" s="2"/>
      <c r="G1516" s="2"/>
      <c r="H1516" s="2"/>
      <c r="I1516" s="2"/>
    </row>
    <row r="1517" spans="1:9">
      <c r="A1517" s="2"/>
      <c r="B1517" s="2"/>
      <c r="C1517" s="2"/>
      <c r="D1517" s="2"/>
      <c r="E1517" s="2"/>
      <c r="F1517" s="2"/>
      <c r="G1517" s="2"/>
      <c r="H1517" s="2"/>
      <c r="I1517" s="2"/>
    </row>
    <row r="1518" spans="1:9">
      <c r="A1518" s="2"/>
      <c r="B1518" s="2"/>
      <c r="C1518" s="2"/>
      <c r="D1518" s="2"/>
      <c r="E1518" s="2"/>
      <c r="F1518" s="2"/>
      <c r="G1518" s="2"/>
      <c r="H1518" s="2"/>
      <c r="I1518" s="2"/>
    </row>
    <row r="1520" spans="1:9">
      <c r="A1520" s="4"/>
      <c r="B1520" s="4"/>
      <c r="C1520" s="4"/>
      <c r="D1520" s="4"/>
      <c r="E1520" s="4"/>
      <c r="F1520" s="4"/>
      <c r="G1520" s="4"/>
      <c r="H1520" s="4"/>
      <c r="I1520" s="4"/>
    </row>
    <row r="1521" spans="1:9">
      <c r="A1521" s="4"/>
      <c r="B1521" s="4"/>
      <c r="C1521" s="4"/>
      <c r="D1521" s="4"/>
      <c r="E1521" s="4"/>
      <c r="F1521" s="4"/>
      <c r="G1521" s="4"/>
      <c r="H1521" s="4"/>
      <c r="I1521" s="4"/>
    </row>
    <row r="1522" spans="1:9">
      <c r="A1522" s="1"/>
    </row>
    <row r="1523" spans="1:9">
      <c r="A1523" s="2"/>
      <c r="B1523" s="2"/>
      <c r="C1523" s="2"/>
      <c r="D1523" s="2"/>
      <c r="E1523" s="2"/>
      <c r="F1523" s="2"/>
      <c r="G1523" s="2"/>
      <c r="H1523" s="2"/>
      <c r="I1523" s="2"/>
    </row>
    <row r="1524" spans="1:9">
      <c r="A1524" s="2"/>
      <c r="B1524" s="2"/>
      <c r="C1524" s="2"/>
      <c r="D1524" s="2"/>
      <c r="E1524" s="2"/>
      <c r="F1524" s="2"/>
      <c r="G1524" s="2"/>
      <c r="H1524" s="2"/>
      <c r="I1524" s="2"/>
    </row>
    <row r="1525" spans="1:9">
      <c r="A1525" s="2"/>
      <c r="B1525" s="2"/>
      <c r="C1525" s="2"/>
      <c r="D1525" s="2"/>
      <c r="E1525" s="2"/>
      <c r="F1525" s="2"/>
      <c r="G1525" s="2"/>
      <c r="H1525" s="2"/>
      <c r="I1525" s="2"/>
    </row>
    <row r="1526" spans="1:9">
      <c r="A1526" s="2"/>
      <c r="B1526" s="2"/>
      <c r="C1526" s="2"/>
      <c r="D1526" s="2"/>
      <c r="E1526" s="2"/>
      <c r="F1526" s="2"/>
      <c r="G1526" s="2"/>
      <c r="H1526" s="2"/>
      <c r="I1526" s="2"/>
    </row>
    <row r="1527" spans="1:9">
      <c r="A1527" s="2"/>
      <c r="B1527" s="2"/>
      <c r="C1527" s="2"/>
      <c r="D1527" s="2"/>
      <c r="E1527" s="2"/>
      <c r="F1527" s="2"/>
      <c r="G1527" s="2"/>
      <c r="H1527" s="2"/>
      <c r="I1527" s="2"/>
    </row>
    <row r="1528" spans="1:9">
      <c r="A1528" s="2"/>
      <c r="B1528" s="2"/>
      <c r="C1528" s="2"/>
      <c r="D1528" s="2"/>
      <c r="E1528" s="2"/>
      <c r="F1528" s="2"/>
      <c r="G1528" s="2"/>
      <c r="H1528" s="2"/>
      <c r="I1528" s="2"/>
    </row>
    <row r="1529" spans="1:9">
      <c r="A1529" s="3"/>
      <c r="B1529" s="3"/>
      <c r="C1529" s="3"/>
      <c r="D1529" s="3"/>
      <c r="E1529" s="3"/>
      <c r="F1529" s="3"/>
      <c r="G1529" s="3"/>
      <c r="H1529" s="3"/>
      <c r="I1529" s="3"/>
    </row>
    <row r="1531" spans="1:9">
      <c r="A1531" s="4"/>
      <c r="B1531" s="4"/>
      <c r="C1531" s="4"/>
      <c r="D1531" s="4"/>
      <c r="E1531" s="4"/>
      <c r="F1531" s="4"/>
      <c r="G1531" s="4"/>
      <c r="H1531" s="4"/>
      <c r="I1531" s="4"/>
    </row>
    <row r="1532" spans="1:9">
      <c r="A1532" s="1"/>
    </row>
    <row r="1533" spans="1:9">
      <c r="A1533" s="2"/>
      <c r="B1533" s="2"/>
      <c r="C1533" s="2"/>
      <c r="D1533" s="2"/>
      <c r="E1533" s="2"/>
      <c r="F1533" s="2"/>
      <c r="G1533" s="2"/>
      <c r="H1533" s="2"/>
      <c r="I1533" s="2"/>
    </row>
    <row r="1534" spans="1:9">
      <c r="A1534" s="2"/>
      <c r="B1534" s="2"/>
      <c r="C1534" s="2"/>
      <c r="D1534" s="2"/>
      <c r="E1534" s="2"/>
      <c r="F1534" s="2"/>
      <c r="G1534" s="2"/>
      <c r="H1534" s="2"/>
      <c r="I1534" s="2"/>
    </row>
    <row r="1535" spans="1:9">
      <c r="A1535" s="2"/>
      <c r="B1535" s="2"/>
      <c r="C1535" s="2"/>
      <c r="D1535" s="2"/>
      <c r="E1535" s="2"/>
      <c r="F1535" s="2"/>
      <c r="G1535" s="2"/>
      <c r="H1535" s="2"/>
      <c r="I1535" s="2"/>
    </row>
    <row r="1536" spans="1:9">
      <c r="A1536" s="2"/>
      <c r="B1536" s="2"/>
      <c r="C1536" s="2"/>
      <c r="D1536" s="2"/>
      <c r="E1536" s="2"/>
      <c r="F1536" s="2"/>
      <c r="G1536" s="2"/>
      <c r="H1536" s="2"/>
      <c r="I1536" s="2"/>
    </row>
    <row r="1537" spans="1:9">
      <c r="A1537" s="2"/>
      <c r="B1537" s="2"/>
      <c r="C1537" s="2"/>
      <c r="D1537" s="2"/>
      <c r="E1537" s="2"/>
      <c r="F1537" s="2"/>
      <c r="G1537" s="2"/>
      <c r="H1537" s="2"/>
      <c r="I1537" s="2"/>
    </row>
    <row r="1538" spans="1:9">
      <c r="A1538" s="2"/>
      <c r="B1538" s="2"/>
      <c r="C1538" s="2"/>
      <c r="D1538" s="2"/>
      <c r="E1538" s="2"/>
      <c r="F1538" s="2"/>
      <c r="G1538" s="2"/>
      <c r="H1538" s="2"/>
      <c r="I1538" s="2"/>
    </row>
    <row r="1539" spans="1:9">
      <c r="A1539" s="3"/>
      <c r="B1539" s="3"/>
      <c r="C1539" s="3"/>
      <c r="D1539" s="3"/>
      <c r="E1539" s="3"/>
      <c r="F1539" s="3"/>
      <c r="G1539" s="3"/>
      <c r="H1539" s="3"/>
      <c r="I1539" s="3"/>
    </row>
    <row r="1541" spans="1:9">
      <c r="A1541" s="4"/>
      <c r="B1541" s="4"/>
      <c r="C1541" s="4"/>
      <c r="D1541" s="4"/>
      <c r="E1541" s="4"/>
      <c r="F1541" s="4"/>
      <c r="G1541" s="4"/>
      <c r="H1541" s="4"/>
      <c r="I1541" s="4"/>
    </row>
    <row r="1542" spans="1:9">
      <c r="A1542" s="1"/>
    </row>
    <row r="1543" spans="1:9">
      <c r="A1543" s="2"/>
      <c r="B1543" s="2"/>
      <c r="C1543" s="2"/>
      <c r="D1543" s="2"/>
      <c r="E1543" s="2"/>
      <c r="F1543" s="2"/>
      <c r="G1543" s="2"/>
      <c r="H1543" s="2"/>
      <c r="I1543" s="2"/>
    </row>
    <row r="1544" spans="1:9">
      <c r="A1544" s="2"/>
      <c r="B1544" s="2"/>
      <c r="C1544" s="2"/>
      <c r="D1544" s="2"/>
      <c r="E1544" s="2"/>
      <c r="F1544" s="2"/>
      <c r="G1544" s="2"/>
      <c r="H1544" s="2"/>
      <c r="I1544" s="2"/>
    </row>
    <row r="1545" spans="1:9">
      <c r="A1545" s="2"/>
      <c r="B1545" s="2"/>
      <c r="C1545" s="2"/>
      <c r="D1545" s="2"/>
      <c r="E1545" s="2"/>
      <c r="F1545" s="2"/>
      <c r="G1545" s="2"/>
      <c r="H1545" s="2"/>
      <c r="I1545" s="2"/>
    </row>
    <row r="1546" spans="1:9">
      <c r="A1546" s="2"/>
      <c r="B1546" s="2"/>
      <c r="C1546" s="2"/>
      <c r="D1546" s="2"/>
      <c r="E1546" s="2"/>
      <c r="F1546" s="2"/>
      <c r="G1546" s="2"/>
      <c r="H1546" s="2"/>
      <c r="I1546" s="2"/>
    </row>
    <row r="1547" spans="1:9">
      <c r="A1547" s="2"/>
      <c r="B1547" s="2"/>
      <c r="C1547" s="2"/>
      <c r="D1547" s="2"/>
      <c r="E1547" s="2"/>
      <c r="F1547" s="2"/>
      <c r="G1547" s="2"/>
      <c r="H1547" s="2"/>
      <c r="I1547" s="2"/>
    </row>
    <row r="1548" spans="1:9">
      <c r="A1548" s="2"/>
      <c r="B1548" s="2"/>
      <c r="C1548" s="2"/>
      <c r="D1548" s="2"/>
      <c r="E1548" s="2"/>
      <c r="F1548" s="2"/>
      <c r="G1548" s="2"/>
      <c r="H1548" s="2"/>
      <c r="I1548" s="2"/>
    </row>
    <row r="1550" spans="1:9">
      <c r="A1550" s="4"/>
      <c r="B1550" s="4"/>
      <c r="C1550" s="4"/>
      <c r="D1550" s="4"/>
      <c r="E1550" s="4"/>
      <c r="F1550" s="4"/>
      <c r="G1550" s="4"/>
      <c r="H1550" s="4"/>
      <c r="I1550" s="4"/>
    </row>
    <row r="1551" spans="1:9">
      <c r="A1551" s="4"/>
      <c r="B1551" s="4"/>
      <c r="C1551" s="4"/>
      <c r="D1551" s="4"/>
      <c r="E1551" s="4"/>
      <c r="F1551" s="4"/>
      <c r="G1551" s="4"/>
      <c r="H1551" s="4"/>
      <c r="I1551" s="4"/>
    </row>
    <row r="1552" spans="1:9">
      <c r="A1552" s="1"/>
    </row>
    <row r="1553" spans="1:9">
      <c r="A1553" s="2"/>
      <c r="B1553" s="2"/>
      <c r="C1553" s="2"/>
      <c r="D1553" s="2"/>
      <c r="E1553" s="2"/>
      <c r="F1553" s="2"/>
      <c r="G1553" s="2"/>
      <c r="H1553" s="2"/>
      <c r="I1553" s="2"/>
    </row>
    <row r="1554" spans="1:9">
      <c r="A1554" s="2"/>
      <c r="B1554" s="2"/>
      <c r="C1554" s="2"/>
      <c r="D1554" s="2"/>
      <c r="E1554" s="2"/>
      <c r="F1554" s="2"/>
      <c r="G1554" s="2"/>
      <c r="H1554" s="2"/>
      <c r="I1554" s="2"/>
    </row>
    <row r="1555" spans="1:9">
      <c r="A1555" s="2"/>
      <c r="B1555" s="2"/>
      <c r="C1555" s="2"/>
      <c r="D1555" s="2"/>
      <c r="E1555" s="2"/>
      <c r="F1555" s="2"/>
      <c r="G1555" s="2"/>
      <c r="H1555" s="2"/>
      <c r="I1555" s="2"/>
    </row>
    <row r="1556" spans="1:9">
      <c r="A1556" s="2"/>
      <c r="B1556" s="2"/>
      <c r="C1556" s="2"/>
      <c r="D1556" s="2"/>
      <c r="E1556" s="2"/>
      <c r="F1556" s="2"/>
      <c r="G1556" s="2"/>
      <c r="H1556" s="2"/>
      <c r="I1556" s="2"/>
    </row>
    <row r="1557" spans="1:9">
      <c r="A1557" s="2"/>
      <c r="B1557" s="2"/>
      <c r="C1557" s="2"/>
      <c r="D1557" s="2"/>
      <c r="E1557" s="2"/>
      <c r="F1557" s="2"/>
      <c r="G1557" s="2"/>
      <c r="H1557" s="2"/>
      <c r="I1557" s="2"/>
    </row>
    <row r="1558" spans="1:9">
      <c r="A1558" s="2"/>
      <c r="B1558" s="2"/>
      <c r="C1558" s="2"/>
      <c r="D1558" s="2"/>
      <c r="E1558" s="2"/>
      <c r="F1558" s="2"/>
      <c r="G1558" s="2"/>
      <c r="H1558" s="2"/>
      <c r="I1558" s="2"/>
    </row>
    <row r="1559" spans="1:9">
      <c r="A1559" s="3"/>
      <c r="B1559" s="3"/>
      <c r="C1559" s="3"/>
      <c r="D1559" s="3"/>
      <c r="E1559" s="3"/>
      <c r="F1559" s="3"/>
      <c r="G1559" s="3"/>
      <c r="H1559" s="3"/>
      <c r="I1559" s="3"/>
    </row>
    <row r="1561" spans="1:9">
      <c r="A1561" s="4"/>
      <c r="B1561" s="4"/>
      <c r="C1561" s="4"/>
      <c r="D1561" s="4"/>
      <c r="E1561" s="4"/>
      <c r="F1561" s="4"/>
      <c r="G1561" s="4"/>
      <c r="H1561" s="4"/>
      <c r="I1561" s="4"/>
    </row>
    <row r="1562" spans="1:9">
      <c r="A1562" s="1"/>
    </row>
    <row r="1563" spans="1:9">
      <c r="A1563" s="2"/>
      <c r="B1563" s="2"/>
      <c r="C1563" s="2"/>
      <c r="D1563" s="2"/>
      <c r="E1563" s="2"/>
      <c r="F1563" s="2"/>
      <c r="G1563" s="2"/>
      <c r="H1563" s="2"/>
      <c r="I1563" s="2"/>
    </row>
    <row r="1564" spans="1:9">
      <c r="A1564" s="2"/>
      <c r="B1564" s="2"/>
      <c r="C1564" s="2"/>
      <c r="D1564" s="2"/>
      <c r="E1564" s="2"/>
      <c r="F1564" s="2"/>
      <c r="G1564" s="2"/>
      <c r="H1564" s="2"/>
      <c r="I1564" s="2"/>
    </row>
    <row r="1565" spans="1:9">
      <c r="A1565" s="2"/>
      <c r="B1565" s="2"/>
      <c r="C1565" s="2"/>
      <c r="D1565" s="2"/>
      <c r="E1565" s="2"/>
      <c r="F1565" s="2"/>
      <c r="G1565" s="2"/>
      <c r="H1565" s="2"/>
      <c r="I1565" s="2"/>
    </row>
    <row r="1566" spans="1:9">
      <c r="A1566" s="2"/>
      <c r="B1566" s="2"/>
      <c r="C1566" s="2"/>
      <c r="D1566" s="2"/>
      <c r="E1566" s="2"/>
      <c r="F1566" s="2"/>
      <c r="G1566" s="2"/>
      <c r="H1566" s="2"/>
      <c r="I1566" s="2"/>
    </row>
    <row r="1567" spans="1:9">
      <c r="A1567" s="2"/>
      <c r="B1567" s="2"/>
      <c r="C1567" s="2"/>
      <c r="D1567" s="2"/>
      <c r="E1567" s="2"/>
      <c r="F1567" s="2"/>
      <c r="G1567" s="2"/>
      <c r="H1567" s="2"/>
      <c r="I1567" s="2"/>
    </row>
    <row r="1568" spans="1:9">
      <c r="A1568" s="2"/>
      <c r="B1568" s="2"/>
      <c r="C1568" s="2"/>
      <c r="D1568" s="2"/>
      <c r="E1568" s="2"/>
      <c r="F1568" s="2"/>
      <c r="G1568" s="2"/>
      <c r="H1568" s="2"/>
      <c r="I1568" s="2"/>
    </row>
    <row r="1569" spans="1:9">
      <c r="A1569" s="3"/>
      <c r="B1569" s="3"/>
      <c r="C1569" s="3"/>
      <c r="D1569" s="3"/>
      <c r="E1569" s="3"/>
      <c r="F1569" s="3"/>
      <c r="G1569" s="3"/>
      <c r="H1569" s="3"/>
      <c r="I1569" s="3"/>
    </row>
    <row r="1571" spans="1:9">
      <c r="A1571" s="4"/>
      <c r="B1571" s="4"/>
      <c r="C1571" s="4"/>
      <c r="D1571" s="4"/>
      <c r="E1571" s="4"/>
      <c r="F1571" s="4"/>
      <c r="G1571" s="4"/>
      <c r="H1571" s="4"/>
      <c r="I1571" s="4"/>
    </row>
    <row r="1572" spans="1:9">
      <c r="A1572" s="1"/>
    </row>
    <row r="1573" spans="1:9">
      <c r="A1573" s="2"/>
      <c r="B1573" s="2"/>
      <c r="C1573" s="2"/>
      <c r="D1573" s="2"/>
      <c r="E1573" s="2"/>
      <c r="F1573" s="2"/>
      <c r="G1573" s="2"/>
      <c r="H1573" s="2"/>
      <c r="I1573" s="2"/>
    </row>
    <row r="1574" spans="1:9">
      <c r="A1574" s="2"/>
      <c r="B1574" s="2"/>
      <c r="C1574" s="2"/>
      <c r="D1574" s="2"/>
      <c r="E1574" s="2"/>
      <c r="F1574" s="2"/>
      <c r="G1574" s="2"/>
      <c r="H1574" s="2"/>
      <c r="I1574" s="2"/>
    </row>
    <row r="1575" spans="1:9">
      <c r="A1575" s="2"/>
      <c r="B1575" s="2"/>
      <c r="C1575" s="2"/>
      <c r="D1575" s="2"/>
      <c r="E1575" s="2"/>
      <c r="F1575" s="2"/>
      <c r="G1575" s="2"/>
      <c r="H1575" s="2"/>
      <c r="I1575" s="2"/>
    </row>
    <row r="1576" spans="1:9">
      <c r="A1576" s="2"/>
      <c r="B1576" s="2"/>
      <c r="C1576" s="2"/>
      <c r="D1576" s="2"/>
      <c r="E1576" s="2"/>
      <c r="F1576" s="2"/>
      <c r="G1576" s="2"/>
      <c r="H1576" s="2"/>
      <c r="I1576" s="2"/>
    </row>
    <row r="1577" spans="1:9">
      <c r="A1577" s="2"/>
      <c r="B1577" s="2"/>
      <c r="C1577" s="2"/>
      <c r="D1577" s="2"/>
      <c r="E1577" s="2"/>
      <c r="F1577" s="2"/>
      <c r="G1577" s="2"/>
      <c r="H1577" s="2"/>
      <c r="I1577" s="2"/>
    </row>
    <row r="1578" spans="1:9">
      <c r="A1578" s="2"/>
      <c r="B1578" s="2"/>
      <c r="C1578" s="2"/>
      <c r="D1578" s="2"/>
      <c r="E1578" s="2"/>
      <c r="F1578" s="2"/>
      <c r="G1578" s="2"/>
      <c r="H1578" s="2"/>
      <c r="I1578" s="2"/>
    </row>
    <row r="1580" spans="1:9">
      <c r="A1580" s="4"/>
      <c r="B1580" s="4"/>
      <c r="C1580" s="4"/>
      <c r="D1580" s="4"/>
      <c r="E1580" s="4"/>
      <c r="F1580" s="4"/>
      <c r="G1580" s="4"/>
      <c r="H1580" s="4"/>
      <c r="I1580" s="4"/>
    </row>
    <row r="1581" spans="1:9">
      <c r="A1581" s="4"/>
      <c r="B1581" s="4"/>
      <c r="C1581" s="4"/>
      <c r="D1581" s="4"/>
      <c r="E1581" s="4"/>
      <c r="F1581" s="4"/>
      <c r="G1581" s="4"/>
      <c r="H1581" s="4"/>
      <c r="I1581" s="4"/>
    </row>
    <row r="1582" spans="1:9">
      <c r="A1582" s="1"/>
    </row>
    <row r="1583" spans="1:9">
      <c r="A1583" s="2"/>
      <c r="B1583" s="2"/>
      <c r="C1583" s="2"/>
      <c r="D1583" s="2"/>
      <c r="E1583" s="2"/>
      <c r="F1583" s="2"/>
      <c r="G1583" s="2"/>
      <c r="H1583" s="2"/>
      <c r="I1583" s="2"/>
    </row>
    <row r="1584" spans="1:9">
      <c r="A1584" s="2"/>
      <c r="B1584" s="2"/>
      <c r="C1584" s="2"/>
      <c r="D1584" s="2"/>
      <c r="E1584" s="2"/>
      <c r="F1584" s="2"/>
      <c r="G1584" s="2"/>
      <c r="H1584" s="2"/>
      <c r="I1584" s="2"/>
    </row>
    <row r="1585" spans="1:9">
      <c r="A1585" s="2"/>
      <c r="B1585" s="2"/>
      <c r="C1585" s="2"/>
      <c r="D1585" s="2"/>
      <c r="E1585" s="2"/>
      <c r="F1585" s="2"/>
      <c r="G1585" s="2"/>
      <c r="H1585" s="2"/>
      <c r="I1585" s="2"/>
    </row>
    <row r="1586" spans="1:9">
      <c r="A1586" s="2"/>
      <c r="B1586" s="2"/>
      <c r="C1586" s="2"/>
      <c r="D1586" s="2"/>
      <c r="E1586" s="2"/>
      <c r="F1586" s="2"/>
      <c r="G1586" s="2"/>
      <c r="H1586" s="2"/>
      <c r="I1586" s="2"/>
    </row>
    <row r="1587" spans="1:9">
      <c r="A1587" s="2"/>
      <c r="B1587" s="2"/>
      <c r="C1587" s="2"/>
      <c r="D1587" s="2"/>
      <c r="E1587" s="2"/>
      <c r="F1587" s="2"/>
      <c r="G1587" s="2"/>
      <c r="H1587" s="2"/>
      <c r="I1587" s="2"/>
    </row>
    <row r="1588" spans="1:9">
      <c r="A1588" s="2"/>
      <c r="B1588" s="2"/>
      <c r="C1588" s="2"/>
      <c r="D1588" s="2"/>
      <c r="E1588" s="2"/>
      <c r="F1588" s="2"/>
      <c r="G1588" s="2"/>
      <c r="H1588" s="2"/>
      <c r="I1588" s="2"/>
    </row>
    <row r="1589" spans="1:9">
      <c r="A1589" s="3"/>
      <c r="B1589" s="3"/>
      <c r="C1589" s="3"/>
      <c r="D1589" s="3"/>
      <c r="E1589" s="3"/>
      <c r="F1589" s="3"/>
      <c r="G1589" s="3"/>
      <c r="H1589" s="3"/>
      <c r="I1589" s="3"/>
    </row>
    <row r="1591" spans="1:9">
      <c r="A1591" s="4"/>
      <c r="B1591" s="4"/>
      <c r="C1591" s="4"/>
      <c r="D1591" s="4"/>
      <c r="E1591" s="4"/>
      <c r="F1591" s="4"/>
      <c r="G1591" s="4"/>
      <c r="H1591" s="4"/>
      <c r="I1591" s="4"/>
    </row>
    <row r="1592" spans="1:9">
      <c r="A1592" s="1"/>
    </row>
    <row r="1593" spans="1:9">
      <c r="A1593" s="2"/>
      <c r="B1593" s="2"/>
      <c r="C1593" s="2"/>
      <c r="D1593" s="2"/>
      <c r="E1593" s="2"/>
      <c r="F1593" s="2"/>
      <c r="G1593" s="2"/>
      <c r="H1593" s="2"/>
      <c r="I1593" s="2"/>
    </row>
    <row r="1594" spans="1:9">
      <c r="A1594" s="2"/>
      <c r="B1594" s="2"/>
      <c r="C1594" s="2"/>
      <c r="D1594" s="2"/>
      <c r="E1594" s="2"/>
      <c r="F1594" s="2"/>
      <c r="G1594" s="2"/>
      <c r="H1594" s="2"/>
      <c r="I1594" s="2"/>
    </row>
    <row r="1595" spans="1:9">
      <c r="A1595" s="2"/>
      <c r="B1595" s="2"/>
      <c r="C1595" s="2"/>
      <c r="D1595" s="2"/>
      <c r="E1595" s="2"/>
      <c r="F1595" s="2"/>
      <c r="G1595" s="2"/>
      <c r="H1595" s="2"/>
      <c r="I1595" s="2"/>
    </row>
    <row r="1596" spans="1:9">
      <c r="A1596" s="2"/>
      <c r="B1596" s="2"/>
      <c r="C1596" s="2"/>
      <c r="D1596" s="2"/>
      <c r="E1596" s="2"/>
      <c r="F1596" s="2"/>
      <c r="G1596" s="2"/>
      <c r="H1596" s="2"/>
      <c r="I1596" s="2"/>
    </row>
    <row r="1597" spans="1:9">
      <c r="A1597" s="2"/>
      <c r="B1597" s="2"/>
      <c r="C1597" s="2"/>
      <c r="D1597" s="2"/>
      <c r="E1597" s="2"/>
      <c r="F1597" s="2"/>
      <c r="G1597" s="2"/>
      <c r="H1597" s="2"/>
      <c r="I1597" s="2"/>
    </row>
    <row r="1598" spans="1:9">
      <c r="A1598" s="2"/>
      <c r="B1598" s="2"/>
      <c r="C1598" s="2"/>
      <c r="D1598" s="2"/>
      <c r="E1598" s="2"/>
      <c r="F1598" s="2"/>
      <c r="G1598" s="2"/>
      <c r="H1598" s="2"/>
      <c r="I1598" s="2"/>
    </row>
    <row r="1599" spans="1:9">
      <c r="A1599" s="3"/>
      <c r="B1599" s="3"/>
      <c r="C1599" s="3"/>
      <c r="D1599" s="3"/>
      <c r="E1599" s="3"/>
      <c r="F1599" s="3"/>
      <c r="G1599" s="3"/>
      <c r="H1599" s="3"/>
      <c r="I1599" s="3"/>
    </row>
    <row r="1601" spans="1:9">
      <c r="A1601" s="4"/>
      <c r="B1601" s="4"/>
      <c r="C1601" s="4"/>
      <c r="D1601" s="4"/>
      <c r="E1601" s="4"/>
      <c r="F1601" s="4"/>
      <c r="G1601" s="4"/>
      <c r="H1601" s="4"/>
      <c r="I1601" s="4"/>
    </row>
    <row r="1602" spans="1:9">
      <c r="A1602" s="1"/>
    </row>
    <row r="1603" spans="1:9">
      <c r="A1603" s="2"/>
      <c r="B1603" s="2"/>
      <c r="C1603" s="2"/>
      <c r="D1603" s="2"/>
      <c r="E1603" s="2"/>
      <c r="F1603" s="2"/>
      <c r="G1603" s="2"/>
      <c r="H1603" s="2"/>
      <c r="I1603" s="2"/>
    </row>
    <row r="1604" spans="1:9">
      <c r="A1604" s="2"/>
      <c r="B1604" s="2"/>
      <c r="C1604" s="2"/>
      <c r="D1604" s="2"/>
      <c r="E1604" s="2"/>
      <c r="F1604" s="2"/>
      <c r="G1604" s="2"/>
      <c r="H1604" s="2"/>
      <c r="I1604" s="2"/>
    </row>
    <row r="1605" spans="1:9">
      <c r="A1605" s="2"/>
      <c r="B1605" s="2"/>
      <c r="C1605" s="2"/>
      <c r="D1605" s="2"/>
      <c r="E1605" s="2"/>
      <c r="F1605" s="2"/>
      <c r="G1605" s="2"/>
      <c r="H1605" s="2"/>
      <c r="I1605" s="2"/>
    </row>
    <row r="1606" spans="1:9">
      <c r="A1606" s="2"/>
      <c r="B1606" s="2"/>
      <c r="C1606" s="2"/>
      <c r="D1606" s="2"/>
      <c r="E1606" s="2"/>
      <c r="F1606" s="2"/>
      <c r="G1606" s="2"/>
      <c r="H1606" s="2"/>
      <c r="I1606" s="2"/>
    </row>
    <row r="1607" spans="1:9">
      <c r="A1607" s="2"/>
      <c r="B1607" s="2"/>
      <c r="C1607" s="2"/>
      <c r="D1607" s="2"/>
      <c r="E1607" s="2"/>
      <c r="F1607" s="2"/>
      <c r="G1607" s="2"/>
      <c r="H1607" s="2"/>
      <c r="I1607" s="2"/>
    </row>
    <row r="1608" spans="1:9">
      <c r="A1608" s="2"/>
      <c r="B1608" s="2"/>
      <c r="C1608" s="2"/>
      <c r="D1608" s="2"/>
      <c r="E1608" s="2"/>
      <c r="F1608" s="2"/>
      <c r="G1608" s="2"/>
      <c r="H1608" s="2"/>
      <c r="I1608" s="2"/>
    </row>
    <row r="1610" spans="1:9">
      <c r="A1610" s="4"/>
      <c r="B1610" s="4"/>
      <c r="C1610" s="4"/>
      <c r="D1610" s="4"/>
      <c r="E1610" s="4"/>
      <c r="F1610" s="4"/>
      <c r="G1610" s="4"/>
      <c r="H1610" s="4"/>
      <c r="I1610" s="4"/>
    </row>
    <row r="1611" spans="1:9">
      <c r="A1611" s="4"/>
      <c r="B1611" s="4"/>
      <c r="C1611" s="4"/>
      <c r="D1611" s="4"/>
      <c r="E1611" s="4"/>
      <c r="F1611" s="4"/>
      <c r="G1611" s="4"/>
      <c r="H1611" s="4"/>
      <c r="I1611" s="4"/>
    </row>
    <row r="1612" spans="1:9">
      <c r="A1612" s="1"/>
    </row>
    <row r="1613" spans="1:9">
      <c r="A1613" s="2"/>
      <c r="B1613" s="2"/>
      <c r="C1613" s="2"/>
      <c r="D1613" s="2"/>
      <c r="E1613" s="2"/>
      <c r="F1613" s="2"/>
      <c r="G1613" s="2"/>
      <c r="H1613" s="2"/>
      <c r="I1613" s="2"/>
    </row>
    <row r="1614" spans="1:9">
      <c r="A1614" s="2"/>
      <c r="B1614" s="2"/>
      <c r="C1614" s="2"/>
      <c r="D1614" s="2"/>
      <c r="E1614" s="2"/>
      <c r="F1614" s="2"/>
      <c r="G1614" s="2"/>
      <c r="H1614" s="2"/>
      <c r="I1614" s="2"/>
    </row>
    <row r="1615" spans="1:9">
      <c r="A1615" s="2"/>
      <c r="B1615" s="2"/>
      <c r="C1615" s="2"/>
      <c r="D1615" s="2"/>
      <c r="E1615" s="2"/>
      <c r="F1615" s="2"/>
      <c r="G1615" s="2"/>
      <c r="H1615" s="2"/>
      <c r="I1615" s="2"/>
    </row>
    <row r="1616" spans="1:9">
      <c r="A1616" s="2"/>
      <c r="B1616" s="2"/>
      <c r="C1616" s="2"/>
      <c r="D1616" s="2"/>
      <c r="E1616" s="2"/>
      <c r="F1616" s="2"/>
      <c r="G1616" s="2"/>
      <c r="H1616" s="2"/>
      <c r="I1616" s="2"/>
    </row>
    <row r="1617" spans="1:9">
      <c r="A1617" s="2"/>
      <c r="B1617" s="2"/>
      <c r="C1617" s="2"/>
      <c r="D1617" s="2"/>
      <c r="E1617" s="2"/>
      <c r="F1617" s="2"/>
      <c r="G1617" s="2"/>
      <c r="H1617" s="2"/>
      <c r="I1617" s="2"/>
    </row>
    <row r="1618" spans="1:9">
      <c r="A1618" s="2"/>
      <c r="B1618" s="2"/>
      <c r="C1618" s="2"/>
      <c r="D1618" s="2"/>
      <c r="E1618" s="2"/>
      <c r="F1618" s="2"/>
      <c r="G1618" s="2"/>
      <c r="H1618" s="2"/>
      <c r="I1618" s="2"/>
    </row>
    <row r="1619" spans="1:9">
      <c r="A1619" s="3"/>
      <c r="B1619" s="3"/>
      <c r="C1619" s="3"/>
      <c r="D1619" s="3"/>
      <c r="E1619" s="3"/>
      <c r="F1619" s="3"/>
      <c r="G1619" s="3"/>
      <c r="H1619" s="3"/>
      <c r="I1619" s="3"/>
    </row>
    <row r="1621" spans="1:9">
      <c r="A1621" s="4"/>
      <c r="B1621" s="4"/>
      <c r="C1621" s="4"/>
      <c r="D1621" s="4"/>
      <c r="E1621" s="4"/>
      <c r="F1621" s="4"/>
      <c r="G1621" s="4"/>
      <c r="H1621" s="4"/>
      <c r="I1621" s="4"/>
    </row>
    <row r="1622" spans="1:9">
      <c r="A1622" s="1"/>
    </row>
    <row r="1623" spans="1:9">
      <c r="A1623" s="2"/>
      <c r="B1623" s="2"/>
      <c r="C1623" s="2"/>
      <c r="D1623" s="2"/>
      <c r="E1623" s="2"/>
      <c r="F1623" s="2"/>
      <c r="G1623" s="2"/>
      <c r="H1623" s="2"/>
      <c r="I1623" s="2"/>
    </row>
    <row r="1624" spans="1:9">
      <c r="A1624" s="2"/>
      <c r="B1624" s="2"/>
      <c r="C1624" s="2"/>
      <c r="D1624" s="2"/>
      <c r="E1624" s="2"/>
      <c r="F1624" s="2"/>
      <c r="G1624" s="2"/>
      <c r="H1624" s="2"/>
      <c r="I1624" s="2"/>
    </row>
    <row r="1625" spans="1:9">
      <c r="A1625" s="2"/>
      <c r="B1625" s="2"/>
      <c r="C1625" s="2"/>
      <c r="D1625" s="2"/>
      <c r="E1625" s="2"/>
      <c r="F1625" s="2"/>
      <c r="G1625" s="2"/>
      <c r="H1625" s="2"/>
      <c r="I1625" s="2"/>
    </row>
    <row r="1626" spans="1:9">
      <c r="A1626" s="2"/>
      <c r="B1626" s="2"/>
      <c r="C1626" s="2"/>
      <c r="D1626" s="2"/>
      <c r="E1626" s="2"/>
      <c r="F1626" s="2"/>
      <c r="G1626" s="2"/>
      <c r="H1626" s="2"/>
      <c r="I1626" s="2"/>
    </row>
    <row r="1627" spans="1:9">
      <c r="A1627" s="2"/>
      <c r="B1627" s="2"/>
      <c r="C1627" s="2"/>
      <c r="D1627" s="2"/>
      <c r="E1627" s="2"/>
      <c r="F1627" s="2"/>
      <c r="G1627" s="2"/>
      <c r="H1627" s="2"/>
      <c r="I1627" s="2"/>
    </row>
    <row r="1628" spans="1:9">
      <c r="A1628" s="2"/>
      <c r="B1628" s="2"/>
      <c r="C1628" s="2"/>
      <c r="D1628" s="2"/>
      <c r="E1628" s="2"/>
      <c r="F1628" s="2"/>
      <c r="G1628" s="2"/>
      <c r="H1628" s="2"/>
      <c r="I1628" s="2"/>
    </row>
    <row r="1629" spans="1:9">
      <c r="A1629" s="3"/>
      <c r="B1629" s="3"/>
      <c r="C1629" s="3"/>
      <c r="D1629" s="3"/>
      <c r="E1629" s="3"/>
      <c r="F1629" s="3"/>
      <c r="G1629" s="3"/>
      <c r="H1629" s="3"/>
      <c r="I1629" s="3"/>
    </row>
    <row r="1631" spans="1:9">
      <c r="A1631" s="4"/>
      <c r="B1631" s="4"/>
      <c r="C1631" s="4"/>
      <c r="D1631" s="4"/>
      <c r="E1631" s="4"/>
      <c r="F1631" s="4"/>
      <c r="G1631" s="4"/>
      <c r="H1631" s="4"/>
      <c r="I1631" s="4"/>
    </row>
    <row r="1632" spans="1:9">
      <c r="A1632" s="1"/>
    </row>
    <row r="1633" spans="1:9">
      <c r="A1633" s="2"/>
      <c r="B1633" s="2"/>
      <c r="C1633" s="2"/>
      <c r="D1633" s="2"/>
      <c r="E1633" s="2"/>
      <c r="F1633" s="2"/>
      <c r="G1633" s="2"/>
      <c r="H1633" s="2"/>
      <c r="I1633" s="2"/>
    </row>
    <row r="1634" spans="1:9">
      <c r="A1634" s="2"/>
      <c r="B1634" s="2"/>
      <c r="C1634" s="2"/>
      <c r="D1634" s="2"/>
      <c r="E1634" s="2"/>
      <c r="F1634" s="2"/>
      <c r="G1634" s="2"/>
      <c r="H1634" s="2"/>
      <c r="I1634" s="2"/>
    </row>
    <row r="1635" spans="1:9">
      <c r="A1635" s="2"/>
      <c r="B1635" s="2"/>
      <c r="C1635" s="2"/>
      <c r="D1635" s="2"/>
      <c r="E1635" s="2"/>
      <c r="F1635" s="2"/>
      <c r="G1635" s="2"/>
      <c r="H1635" s="2"/>
      <c r="I1635" s="2"/>
    </row>
    <row r="1636" spans="1:9">
      <c r="A1636" s="2"/>
      <c r="B1636" s="2"/>
      <c r="C1636" s="2"/>
      <c r="D1636" s="2"/>
      <c r="E1636" s="2"/>
      <c r="F1636" s="2"/>
      <c r="G1636" s="2"/>
      <c r="H1636" s="2"/>
      <c r="I1636" s="2"/>
    </row>
    <row r="1637" spans="1:9">
      <c r="A1637" s="2"/>
      <c r="B1637" s="2"/>
      <c r="C1637" s="2"/>
      <c r="D1637" s="2"/>
      <c r="E1637" s="2"/>
      <c r="F1637" s="2"/>
      <c r="G1637" s="2"/>
      <c r="H1637" s="2"/>
      <c r="I1637" s="2"/>
    </row>
    <row r="1638" spans="1:9">
      <c r="A1638" s="2"/>
      <c r="B1638" s="2"/>
      <c r="C1638" s="2"/>
      <c r="D1638" s="2"/>
      <c r="E1638" s="2"/>
      <c r="F1638" s="2"/>
      <c r="G1638" s="2"/>
      <c r="H1638" s="2"/>
      <c r="I1638" s="2"/>
    </row>
    <row r="1640" spans="1:9">
      <c r="A1640" s="4"/>
      <c r="B1640" s="4"/>
      <c r="C1640" s="4"/>
      <c r="D1640" s="4"/>
      <c r="E1640" s="4"/>
      <c r="F1640" s="4"/>
      <c r="G1640" s="4"/>
      <c r="H1640" s="4"/>
      <c r="I1640" s="4"/>
    </row>
    <row r="1641" spans="1:9">
      <c r="A1641" s="4"/>
      <c r="B1641" s="4"/>
      <c r="C1641" s="4"/>
      <c r="D1641" s="4"/>
      <c r="E1641" s="4"/>
      <c r="F1641" s="4"/>
      <c r="G1641" s="4"/>
      <c r="H1641" s="4"/>
      <c r="I1641" s="4"/>
    </row>
    <row r="1642" spans="1:9">
      <c r="A1642" s="1"/>
    </row>
    <row r="1643" spans="1:9">
      <c r="A1643" s="2"/>
      <c r="B1643" s="2"/>
      <c r="C1643" s="2"/>
      <c r="D1643" s="2"/>
      <c r="E1643" s="2"/>
      <c r="F1643" s="2"/>
      <c r="G1643" s="2"/>
      <c r="H1643" s="2"/>
      <c r="I1643" s="2"/>
    </row>
    <row r="1644" spans="1:9">
      <c r="A1644" s="2"/>
      <c r="B1644" s="2"/>
      <c r="C1644" s="2"/>
      <c r="D1644" s="2"/>
      <c r="E1644" s="2"/>
      <c r="F1644" s="2"/>
      <c r="G1644" s="2"/>
      <c r="H1644" s="2"/>
      <c r="I1644" s="2"/>
    </row>
    <row r="1645" spans="1:9">
      <c r="A1645" s="2"/>
      <c r="B1645" s="2"/>
      <c r="C1645" s="2"/>
      <c r="D1645" s="2"/>
      <c r="E1645" s="2"/>
      <c r="F1645" s="2"/>
      <c r="G1645" s="2"/>
      <c r="H1645" s="2"/>
      <c r="I1645" s="2"/>
    </row>
    <row r="1646" spans="1:9">
      <c r="A1646" s="2"/>
      <c r="B1646" s="2"/>
      <c r="C1646" s="2"/>
      <c r="D1646" s="2"/>
      <c r="E1646" s="2"/>
      <c r="F1646" s="2"/>
      <c r="G1646" s="2"/>
      <c r="H1646" s="2"/>
      <c r="I1646" s="2"/>
    </row>
    <row r="1647" spans="1:9">
      <c r="A1647" s="2"/>
      <c r="B1647" s="2"/>
      <c r="C1647" s="2"/>
      <c r="D1647" s="2"/>
      <c r="E1647" s="2"/>
      <c r="F1647" s="2"/>
      <c r="G1647" s="2"/>
      <c r="H1647" s="2"/>
      <c r="I1647" s="2"/>
    </row>
    <row r="1648" spans="1:9">
      <c r="A1648" s="2"/>
      <c r="B1648" s="2"/>
      <c r="C1648" s="2"/>
      <c r="D1648" s="2"/>
      <c r="E1648" s="2"/>
      <c r="F1648" s="2"/>
      <c r="G1648" s="2"/>
      <c r="H1648" s="2"/>
      <c r="I1648" s="2"/>
    </row>
    <row r="1649" spans="1:9">
      <c r="A1649" s="3"/>
      <c r="B1649" s="3"/>
      <c r="C1649" s="3"/>
      <c r="D1649" s="3"/>
      <c r="E1649" s="3"/>
      <c r="F1649" s="3"/>
      <c r="G1649" s="3"/>
      <c r="H1649" s="3"/>
      <c r="I1649" s="3"/>
    </row>
    <row r="1651" spans="1:9">
      <c r="A1651" s="4"/>
      <c r="B1651" s="4"/>
      <c r="C1651" s="4"/>
      <c r="D1651" s="4"/>
      <c r="E1651" s="4"/>
      <c r="F1651" s="4"/>
      <c r="G1651" s="4"/>
      <c r="H1651" s="4"/>
      <c r="I1651" s="4"/>
    </row>
    <row r="1652" spans="1:9">
      <c r="A1652" s="1"/>
    </row>
    <row r="1653" spans="1:9">
      <c r="A1653" s="2"/>
      <c r="B1653" s="2"/>
      <c r="C1653" s="2"/>
      <c r="D1653" s="2"/>
      <c r="E1653" s="2"/>
      <c r="F1653" s="2"/>
      <c r="G1653" s="2"/>
      <c r="H1653" s="2"/>
      <c r="I1653" s="2"/>
    </row>
    <row r="1654" spans="1:9">
      <c r="A1654" s="2"/>
      <c r="B1654" s="2"/>
      <c r="C1654" s="2"/>
      <c r="D1654" s="2"/>
      <c r="E1654" s="2"/>
      <c r="F1654" s="2"/>
      <c r="G1654" s="2"/>
      <c r="H1654" s="2"/>
      <c r="I1654" s="2"/>
    </row>
    <row r="1655" spans="1:9">
      <c r="A1655" s="2"/>
      <c r="B1655" s="2"/>
      <c r="C1655" s="2"/>
      <c r="D1655" s="2"/>
      <c r="E1655" s="2"/>
      <c r="F1655" s="2"/>
      <c r="G1655" s="2"/>
      <c r="H1655" s="2"/>
      <c r="I1655" s="2"/>
    </row>
    <row r="1656" spans="1:9">
      <c r="A1656" s="2"/>
      <c r="B1656" s="2"/>
      <c r="C1656" s="2"/>
      <c r="D1656" s="2"/>
      <c r="E1656" s="2"/>
      <c r="F1656" s="2"/>
      <c r="G1656" s="2"/>
      <c r="H1656" s="2"/>
      <c r="I1656" s="2"/>
    </row>
    <row r="1657" spans="1:9">
      <c r="A1657" s="2"/>
      <c r="B1657" s="2"/>
      <c r="C1657" s="2"/>
      <c r="D1657" s="2"/>
      <c r="E1657" s="2"/>
      <c r="F1657" s="2"/>
      <c r="G1657" s="2"/>
      <c r="H1657" s="2"/>
      <c r="I1657" s="2"/>
    </row>
    <row r="1658" spans="1:9">
      <c r="A1658" s="2"/>
      <c r="B1658" s="2"/>
      <c r="C1658" s="2"/>
      <c r="D1658" s="2"/>
      <c r="E1658" s="2"/>
      <c r="F1658" s="2"/>
      <c r="G1658" s="2"/>
      <c r="H1658" s="2"/>
      <c r="I1658" s="2"/>
    </row>
    <row r="1659" spans="1:9">
      <c r="A1659" s="3"/>
      <c r="B1659" s="3"/>
      <c r="C1659" s="3"/>
      <c r="D1659" s="3"/>
      <c r="E1659" s="3"/>
      <c r="F1659" s="3"/>
      <c r="G1659" s="3"/>
      <c r="H1659" s="3"/>
      <c r="I1659" s="3"/>
    </row>
    <row r="1661" spans="1:9">
      <c r="A1661" s="4"/>
      <c r="B1661" s="4"/>
      <c r="C1661" s="4"/>
      <c r="D1661" s="4"/>
      <c r="E1661" s="4"/>
      <c r="F1661" s="4"/>
      <c r="G1661" s="4"/>
      <c r="H1661" s="4"/>
      <c r="I1661" s="4"/>
    </row>
    <row r="1662" spans="1:9">
      <c r="A1662" s="1"/>
    </row>
    <row r="1663" spans="1:9">
      <c r="A1663" s="2"/>
      <c r="B1663" s="2"/>
      <c r="C1663" s="2"/>
      <c r="D1663" s="2"/>
      <c r="E1663" s="2"/>
      <c r="F1663" s="2"/>
      <c r="G1663" s="2"/>
      <c r="H1663" s="2"/>
      <c r="I1663" s="2"/>
    </row>
    <row r="1664" spans="1:9">
      <c r="A1664" s="2"/>
      <c r="B1664" s="2"/>
      <c r="C1664" s="2"/>
      <c r="D1664" s="2"/>
      <c r="E1664" s="2"/>
      <c r="F1664" s="2"/>
      <c r="G1664" s="2"/>
      <c r="H1664" s="2"/>
      <c r="I1664" s="2"/>
    </row>
    <row r="1665" spans="1:9">
      <c r="A1665" s="2"/>
      <c r="B1665" s="2"/>
      <c r="C1665" s="2"/>
      <c r="D1665" s="2"/>
      <c r="E1665" s="2"/>
      <c r="F1665" s="2"/>
      <c r="G1665" s="2"/>
      <c r="H1665" s="2"/>
      <c r="I1665" s="2"/>
    </row>
    <row r="1666" spans="1:9">
      <c r="A1666" s="2"/>
      <c r="B1666" s="2"/>
      <c r="C1666" s="2"/>
      <c r="D1666" s="2"/>
      <c r="E1666" s="2"/>
      <c r="F1666" s="2"/>
      <c r="G1666" s="2"/>
      <c r="H1666" s="2"/>
      <c r="I1666" s="2"/>
    </row>
    <row r="1667" spans="1:9">
      <c r="A1667" s="2"/>
      <c r="B1667" s="2"/>
      <c r="C1667" s="2"/>
      <c r="D1667" s="2"/>
      <c r="E1667" s="2"/>
      <c r="F1667" s="2"/>
      <c r="G1667" s="2"/>
      <c r="H1667" s="2"/>
      <c r="I1667" s="2"/>
    </row>
    <row r="1668" spans="1:9">
      <c r="A1668" s="2"/>
      <c r="B1668" s="2"/>
      <c r="C1668" s="2"/>
      <c r="D1668" s="2"/>
      <c r="E1668" s="2"/>
      <c r="F1668" s="2"/>
      <c r="G1668" s="2"/>
      <c r="H1668" s="2"/>
      <c r="I1668" s="2"/>
    </row>
    <row r="1670" spans="1:9">
      <c r="A1670" s="4"/>
      <c r="B1670" s="4"/>
      <c r="C1670" s="4"/>
      <c r="D1670" s="4"/>
      <c r="E1670" s="4"/>
      <c r="F1670" s="4"/>
      <c r="G1670" s="4"/>
      <c r="H1670" s="4"/>
      <c r="I1670" s="4"/>
    </row>
    <row r="1671" spans="1:9">
      <c r="A1671" s="4"/>
      <c r="B1671" s="4"/>
      <c r="C1671" s="4"/>
      <c r="D1671" s="4"/>
      <c r="E1671" s="4"/>
      <c r="F1671" s="4"/>
      <c r="G1671" s="4"/>
      <c r="H1671" s="4"/>
      <c r="I1671" s="4"/>
    </row>
    <row r="1672" spans="1:9">
      <c r="A1672" s="1"/>
    </row>
    <row r="1673" spans="1:9">
      <c r="A1673" s="2"/>
      <c r="B1673" s="2"/>
      <c r="C1673" s="2"/>
      <c r="D1673" s="2"/>
      <c r="E1673" s="2"/>
      <c r="F1673" s="2"/>
      <c r="G1673" s="2"/>
      <c r="H1673" s="2"/>
      <c r="I1673" s="2"/>
    </row>
    <row r="1674" spans="1:9">
      <c r="A1674" s="2"/>
      <c r="B1674" s="2"/>
      <c r="C1674" s="2"/>
      <c r="D1674" s="2"/>
      <c r="E1674" s="2"/>
      <c r="F1674" s="2"/>
      <c r="G1674" s="2"/>
      <c r="H1674" s="2"/>
      <c r="I1674" s="2"/>
    </row>
    <row r="1675" spans="1:9">
      <c r="A1675" s="2"/>
      <c r="B1675" s="2"/>
      <c r="C1675" s="2"/>
      <c r="D1675" s="2"/>
      <c r="E1675" s="2"/>
      <c r="F1675" s="2"/>
      <c r="G1675" s="2"/>
      <c r="H1675" s="2"/>
      <c r="I1675" s="2"/>
    </row>
    <row r="1676" spans="1:9">
      <c r="A1676" s="2"/>
      <c r="B1676" s="2"/>
      <c r="C1676" s="2"/>
      <c r="D1676" s="2"/>
      <c r="E1676" s="2"/>
      <c r="F1676" s="2"/>
      <c r="G1676" s="2"/>
      <c r="H1676" s="2"/>
      <c r="I1676" s="2"/>
    </row>
    <row r="1677" spans="1:9">
      <c r="A1677" s="2"/>
      <c r="B1677" s="2"/>
      <c r="C1677" s="2"/>
      <c r="D1677" s="2"/>
      <c r="E1677" s="2"/>
      <c r="F1677" s="2"/>
      <c r="G1677" s="2"/>
      <c r="H1677" s="2"/>
      <c r="I1677" s="2"/>
    </row>
    <row r="1678" spans="1:9">
      <c r="A1678" s="2"/>
      <c r="B1678" s="2"/>
      <c r="C1678" s="2"/>
      <c r="D1678" s="2"/>
      <c r="E1678" s="2"/>
      <c r="F1678" s="2"/>
      <c r="G1678" s="2"/>
      <c r="H1678" s="2"/>
      <c r="I1678" s="2"/>
    </row>
    <row r="1679" spans="1:9">
      <c r="A1679" s="3"/>
      <c r="B1679" s="3"/>
      <c r="C1679" s="3"/>
      <c r="D1679" s="3"/>
      <c r="E1679" s="3"/>
      <c r="F1679" s="3"/>
      <c r="G1679" s="3"/>
      <c r="H1679" s="3"/>
      <c r="I1679" s="3"/>
    </row>
    <row r="1681" spans="1:9">
      <c r="A1681" s="4"/>
      <c r="B1681" s="4"/>
      <c r="C1681" s="4"/>
      <c r="D1681" s="4"/>
      <c r="E1681" s="4"/>
      <c r="F1681" s="4"/>
      <c r="G1681" s="4"/>
      <c r="H1681" s="4"/>
      <c r="I1681" s="4"/>
    </row>
    <row r="1682" spans="1:9">
      <c r="A1682" s="1"/>
    </row>
    <row r="1683" spans="1:9">
      <c r="A1683" s="2"/>
      <c r="B1683" s="2"/>
      <c r="C1683" s="2"/>
      <c r="D1683" s="2"/>
      <c r="E1683" s="2"/>
      <c r="F1683" s="2"/>
      <c r="G1683" s="2"/>
      <c r="H1683" s="2"/>
      <c r="I1683" s="2"/>
    </row>
    <row r="1684" spans="1:9">
      <c r="A1684" s="2"/>
      <c r="B1684" s="2"/>
      <c r="C1684" s="2"/>
      <c r="D1684" s="2"/>
      <c r="E1684" s="2"/>
      <c r="F1684" s="2"/>
      <c r="G1684" s="2"/>
      <c r="H1684" s="2"/>
      <c r="I1684" s="2"/>
    </row>
    <row r="1685" spans="1:9">
      <c r="A1685" s="2"/>
      <c r="B1685" s="2"/>
      <c r="C1685" s="2"/>
      <c r="D1685" s="2"/>
      <c r="E1685" s="2"/>
      <c r="F1685" s="2"/>
      <c r="G1685" s="2"/>
      <c r="H1685" s="2"/>
      <c r="I1685" s="2"/>
    </row>
    <row r="1686" spans="1:9">
      <c r="A1686" s="2"/>
      <c r="B1686" s="2"/>
      <c r="C1686" s="2"/>
      <c r="D1686" s="2"/>
      <c r="E1686" s="2"/>
      <c r="F1686" s="2"/>
      <c r="G1686" s="2"/>
      <c r="H1686" s="2"/>
      <c r="I1686" s="2"/>
    </row>
    <row r="1687" spans="1:9">
      <c r="A1687" s="2"/>
      <c r="B1687" s="2"/>
      <c r="C1687" s="2"/>
      <c r="D1687" s="2"/>
      <c r="E1687" s="2"/>
      <c r="F1687" s="2"/>
      <c r="G1687" s="2"/>
      <c r="H1687" s="2"/>
      <c r="I1687" s="2"/>
    </row>
    <row r="1688" spans="1:9">
      <c r="A1688" s="2"/>
      <c r="B1688" s="2"/>
      <c r="C1688" s="2"/>
      <c r="D1688" s="2"/>
      <c r="E1688" s="2"/>
      <c r="F1688" s="2"/>
      <c r="G1688" s="2"/>
      <c r="H1688" s="2"/>
      <c r="I1688" s="2"/>
    </row>
    <row r="1689" spans="1:9">
      <c r="A1689" s="3"/>
      <c r="B1689" s="3"/>
      <c r="C1689" s="3"/>
      <c r="D1689" s="3"/>
      <c r="E1689" s="3"/>
      <c r="F1689" s="3"/>
      <c r="G1689" s="3"/>
      <c r="H1689" s="3"/>
      <c r="I1689" s="3"/>
    </row>
    <row r="1691" spans="1:9">
      <c r="A1691" s="4"/>
      <c r="B1691" s="4"/>
      <c r="C1691" s="4"/>
      <c r="D1691" s="4"/>
      <c r="E1691" s="4"/>
      <c r="F1691" s="4"/>
      <c r="G1691" s="4"/>
      <c r="H1691" s="4"/>
      <c r="I1691" s="4"/>
    </row>
    <row r="1692" spans="1:9">
      <c r="A1692" s="1"/>
    </row>
    <row r="1693" spans="1:9">
      <c r="A1693" s="2"/>
      <c r="B1693" s="2"/>
      <c r="C1693" s="2"/>
      <c r="D1693" s="2"/>
      <c r="E1693" s="2"/>
      <c r="F1693" s="2"/>
      <c r="G1693" s="2"/>
      <c r="H1693" s="2"/>
      <c r="I1693" s="2"/>
    </row>
    <row r="1694" spans="1:9">
      <c r="A1694" s="2"/>
      <c r="B1694" s="2"/>
      <c r="C1694" s="2"/>
      <c r="D1694" s="2"/>
      <c r="E1694" s="2"/>
      <c r="F1694" s="2"/>
      <c r="G1694" s="2"/>
      <c r="H1694" s="2"/>
      <c r="I1694" s="2"/>
    </row>
    <row r="1695" spans="1:9">
      <c r="A1695" s="2"/>
      <c r="B1695" s="2"/>
      <c r="C1695" s="2"/>
      <c r="D1695" s="2"/>
      <c r="E1695" s="2"/>
      <c r="F1695" s="2"/>
      <c r="G1695" s="2"/>
      <c r="H1695" s="2"/>
      <c r="I1695" s="2"/>
    </row>
    <row r="1696" spans="1:9">
      <c r="A1696" s="2"/>
      <c r="B1696" s="2"/>
      <c r="C1696" s="2"/>
      <c r="D1696" s="2"/>
      <c r="E1696" s="2"/>
      <c r="F1696" s="2"/>
      <c r="G1696" s="2"/>
      <c r="H1696" s="2"/>
      <c r="I1696" s="2"/>
    </row>
    <row r="1697" spans="1:9">
      <c r="A1697" s="2"/>
      <c r="B1697" s="2"/>
      <c r="C1697" s="2"/>
      <c r="D1697" s="2"/>
      <c r="E1697" s="2"/>
      <c r="F1697" s="2"/>
      <c r="G1697" s="2"/>
      <c r="H1697" s="2"/>
      <c r="I1697" s="2"/>
    </row>
    <row r="1698" spans="1:9">
      <c r="A1698" s="2"/>
      <c r="B1698" s="2"/>
      <c r="C1698" s="2"/>
      <c r="D1698" s="2"/>
      <c r="E1698" s="2"/>
      <c r="F1698" s="2"/>
      <c r="G1698" s="2"/>
      <c r="H1698" s="2"/>
      <c r="I1698" s="2"/>
    </row>
    <row r="1700" spans="1:9">
      <c r="A1700" s="4"/>
      <c r="B1700" s="4"/>
      <c r="C1700" s="4"/>
      <c r="D1700" s="4"/>
      <c r="E1700" s="4"/>
      <c r="F1700" s="4"/>
      <c r="G1700" s="4"/>
      <c r="H1700" s="4"/>
      <c r="I1700" s="4"/>
    </row>
    <row r="1701" spans="1:9">
      <c r="A1701" s="4"/>
      <c r="B1701" s="4"/>
      <c r="C1701" s="4"/>
      <c r="D1701" s="4"/>
      <c r="E1701" s="4"/>
      <c r="F1701" s="4"/>
      <c r="G1701" s="4"/>
      <c r="H1701" s="4"/>
      <c r="I1701" s="4"/>
    </row>
    <row r="1702" spans="1:9">
      <c r="A1702" s="1"/>
    </row>
    <row r="1703" spans="1:9">
      <c r="A1703" s="2"/>
      <c r="B1703" s="2"/>
      <c r="C1703" s="2"/>
      <c r="D1703" s="2"/>
      <c r="E1703" s="2"/>
      <c r="F1703" s="2"/>
      <c r="G1703" s="2"/>
      <c r="H1703" s="2"/>
      <c r="I1703" s="2"/>
    </row>
    <row r="1704" spans="1:9">
      <c r="A1704" s="2"/>
      <c r="B1704" s="2"/>
      <c r="C1704" s="2"/>
      <c r="D1704" s="2"/>
      <c r="E1704" s="2"/>
      <c r="F1704" s="2"/>
      <c r="G1704" s="2"/>
      <c r="H1704" s="2"/>
      <c r="I1704" s="2"/>
    </row>
    <row r="1705" spans="1:9">
      <c r="A1705" s="2"/>
      <c r="B1705" s="2"/>
      <c r="C1705" s="2"/>
      <c r="D1705" s="2"/>
      <c r="E1705" s="2"/>
      <c r="F1705" s="2"/>
      <c r="G1705" s="2"/>
      <c r="H1705" s="2"/>
      <c r="I1705" s="2"/>
    </row>
    <row r="1706" spans="1:9">
      <c r="A1706" s="2"/>
      <c r="B1706" s="2"/>
      <c r="C1706" s="2"/>
      <c r="D1706" s="2"/>
      <c r="E1706" s="2"/>
      <c r="F1706" s="2"/>
      <c r="G1706" s="2"/>
      <c r="H1706" s="2"/>
      <c r="I1706" s="2"/>
    </row>
    <row r="1707" spans="1:9">
      <c r="A1707" s="2"/>
      <c r="B1707" s="2"/>
      <c r="C1707" s="2"/>
      <c r="D1707" s="2"/>
      <c r="E1707" s="2"/>
      <c r="F1707" s="2"/>
      <c r="G1707" s="2"/>
      <c r="H1707" s="2"/>
      <c r="I1707" s="2"/>
    </row>
    <row r="1708" spans="1:9">
      <c r="A1708" s="2"/>
      <c r="B1708" s="2"/>
      <c r="C1708" s="2"/>
      <c r="D1708" s="2"/>
      <c r="E1708" s="2"/>
      <c r="F1708" s="2"/>
      <c r="G1708" s="2"/>
      <c r="H1708" s="2"/>
      <c r="I1708" s="2"/>
    </row>
    <row r="1709" spans="1:9">
      <c r="A1709" s="3"/>
      <c r="B1709" s="3"/>
      <c r="C1709" s="3"/>
      <c r="D1709" s="3"/>
      <c r="E1709" s="3"/>
      <c r="F1709" s="3"/>
      <c r="G1709" s="3"/>
      <c r="H1709" s="3"/>
      <c r="I1709" s="3"/>
    </row>
    <row r="1711" spans="1:9">
      <c r="A1711" s="4"/>
      <c r="B1711" s="4"/>
      <c r="C1711" s="4"/>
      <c r="D1711" s="4"/>
      <c r="E1711" s="4"/>
      <c r="F1711" s="4"/>
      <c r="G1711" s="4"/>
      <c r="H1711" s="4"/>
      <c r="I1711" s="4"/>
    </row>
    <row r="1712" spans="1:9">
      <c r="A1712" s="1"/>
    </row>
    <row r="1713" spans="1:9">
      <c r="A1713" s="2"/>
      <c r="B1713" s="2"/>
      <c r="C1713" s="2"/>
      <c r="D1713" s="2"/>
      <c r="E1713" s="2"/>
      <c r="F1713" s="2"/>
      <c r="G1713" s="2"/>
      <c r="H1713" s="2"/>
      <c r="I1713" s="2"/>
    </row>
    <row r="1714" spans="1:9">
      <c r="A1714" s="2"/>
      <c r="B1714" s="2"/>
      <c r="C1714" s="2"/>
      <c r="D1714" s="2"/>
      <c r="E1714" s="2"/>
      <c r="F1714" s="2"/>
      <c r="G1714" s="2"/>
      <c r="H1714" s="2"/>
      <c r="I1714" s="2"/>
    </row>
    <row r="1715" spans="1:9">
      <c r="A1715" s="2"/>
      <c r="B1715" s="2"/>
      <c r="C1715" s="2"/>
      <c r="D1715" s="2"/>
      <c r="E1715" s="2"/>
      <c r="F1715" s="2"/>
      <c r="G1715" s="2"/>
      <c r="H1715" s="2"/>
      <c r="I1715" s="2"/>
    </row>
    <row r="1716" spans="1:9">
      <c r="A1716" s="2"/>
      <c r="B1716" s="2"/>
      <c r="C1716" s="2"/>
      <c r="D1716" s="2"/>
      <c r="E1716" s="2"/>
      <c r="F1716" s="2"/>
      <c r="G1716" s="2"/>
      <c r="H1716" s="2"/>
      <c r="I1716" s="2"/>
    </row>
    <row r="1717" spans="1:9">
      <c r="A1717" s="2"/>
      <c r="B1717" s="2"/>
      <c r="C1717" s="2"/>
      <c r="D1717" s="2"/>
      <c r="E1717" s="2"/>
      <c r="F1717" s="2"/>
      <c r="G1717" s="2"/>
      <c r="H1717" s="2"/>
      <c r="I1717" s="2"/>
    </row>
    <row r="1718" spans="1:9">
      <c r="A1718" s="2"/>
      <c r="B1718" s="2"/>
      <c r="C1718" s="2"/>
      <c r="D1718" s="2"/>
      <c r="E1718" s="2"/>
      <c r="F1718" s="2"/>
      <c r="G1718" s="2"/>
      <c r="H1718" s="2"/>
      <c r="I1718" s="2"/>
    </row>
    <row r="1719" spans="1:9">
      <c r="A1719" s="3"/>
      <c r="B1719" s="3"/>
      <c r="C1719" s="3"/>
      <c r="D1719" s="3"/>
      <c r="E1719" s="3"/>
      <c r="F1719" s="3"/>
      <c r="G1719" s="3"/>
      <c r="H1719" s="3"/>
      <c r="I1719" s="3"/>
    </row>
    <row r="1721" spans="1:9">
      <c r="A1721" s="4"/>
      <c r="B1721" s="4"/>
      <c r="C1721" s="4"/>
      <c r="D1721" s="4"/>
      <c r="E1721" s="4"/>
      <c r="F1721" s="4"/>
      <c r="G1721" s="4"/>
      <c r="H1721" s="4"/>
      <c r="I1721" s="4"/>
    </row>
    <row r="1722" spans="1:9">
      <c r="A1722" s="1"/>
    </row>
    <row r="1723" spans="1:9">
      <c r="A1723" s="2"/>
      <c r="B1723" s="2"/>
      <c r="C1723" s="2"/>
      <c r="D1723" s="2"/>
      <c r="E1723" s="2"/>
      <c r="F1723" s="2"/>
      <c r="G1723" s="2"/>
      <c r="H1723" s="2"/>
      <c r="I1723" s="2"/>
    </row>
    <row r="1724" spans="1:9">
      <c r="A1724" s="2"/>
      <c r="B1724" s="2"/>
      <c r="C1724" s="2"/>
      <c r="D1724" s="2"/>
      <c r="E1724" s="2"/>
      <c r="F1724" s="2"/>
      <c r="G1724" s="2"/>
      <c r="H1724" s="2"/>
      <c r="I1724" s="2"/>
    </row>
    <row r="1725" spans="1:9">
      <c r="A1725" s="2"/>
      <c r="B1725" s="2"/>
      <c r="C1725" s="2"/>
      <c r="D1725" s="2"/>
      <c r="E1725" s="2"/>
      <c r="F1725" s="2"/>
      <c r="G1725" s="2"/>
      <c r="H1725" s="2"/>
      <c r="I1725" s="2"/>
    </row>
    <row r="1726" spans="1:9">
      <c r="A1726" s="2"/>
      <c r="B1726" s="2"/>
      <c r="C1726" s="2"/>
      <c r="D1726" s="2"/>
      <c r="E1726" s="2"/>
      <c r="F1726" s="2"/>
      <c r="G1726" s="2"/>
      <c r="H1726" s="2"/>
      <c r="I1726" s="2"/>
    </row>
    <row r="1727" spans="1:9">
      <c r="A1727" s="2"/>
      <c r="B1727" s="2"/>
      <c r="C1727" s="2"/>
      <c r="D1727" s="2"/>
      <c r="E1727" s="2"/>
      <c r="F1727" s="2"/>
      <c r="G1727" s="2"/>
      <c r="H1727" s="2"/>
      <c r="I1727" s="2"/>
    </row>
    <row r="1728" spans="1:9">
      <c r="A1728" s="2"/>
      <c r="B1728" s="2"/>
      <c r="C1728" s="2"/>
      <c r="D1728" s="2"/>
      <c r="E1728" s="2"/>
      <c r="F1728" s="2"/>
      <c r="G1728" s="2"/>
      <c r="H1728" s="2"/>
      <c r="I1728" s="2"/>
    </row>
    <row r="1730" spans="1:9">
      <c r="A1730" s="4"/>
      <c r="B1730" s="4"/>
      <c r="C1730" s="4"/>
      <c r="D1730" s="4"/>
      <c r="E1730" s="4"/>
      <c r="F1730" s="4"/>
      <c r="G1730" s="4"/>
      <c r="H1730" s="4"/>
      <c r="I1730" s="4"/>
    </row>
    <row r="1731" spans="1:9">
      <c r="A1731" s="4"/>
      <c r="B1731" s="4"/>
      <c r="C1731" s="4"/>
      <c r="D1731" s="4"/>
      <c r="E1731" s="4"/>
      <c r="F1731" s="4"/>
      <c r="G1731" s="4"/>
      <c r="H1731" s="4"/>
      <c r="I1731" s="4"/>
    </row>
    <row r="1732" spans="1:9">
      <c r="A1732" s="1"/>
    </row>
    <row r="1733" spans="1:9">
      <c r="A1733" s="2"/>
      <c r="B1733" s="2"/>
      <c r="C1733" s="2"/>
      <c r="D1733" s="2"/>
      <c r="E1733" s="2"/>
      <c r="F1733" s="2"/>
      <c r="G1733" s="2"/>
      <c r="H1733" s="2"/>
      <c r="I1733" s="2"/>
    </row>
    <row r="1734" spans="1:9">
      <c r="A1734" s="2"/>
      <c r="B1734" s="2"/>
      <c r="C1734" s="2"/>
      <c r="D1734" s="2"/>
      <c r="E1734" s="2"/>
      <c r="F1734" s="2"/>
      <c r="G1734" s="2"/>
      <c r="H1734" s="2"/>
      <c r="I1734" s="2"/>
    </row>
    <row r="1735" spans="1:9">
      <c r="A1735" s="2"/>
      <c r="B1735" s="2"/>
      <c r="C1735" s="2"/>
      <c r="D1735" s="2"/>
      <c r="E1735" s="2"/>
      <c r="F1735" s="2"/>
      <c r="G1735" s="2"/>
      <c r="H1735" s="2"/>
      <c r="I1735" s="2"/>
    </row>
    <row r="1736" spans="1:9">
      <c r="A1736" s="2"/>
      <c r="B1736" s="2"/>
      <c r="C1736" s="2"/>
      <c r="D1736" s="2"/>
      <c r="E1736" s="2"/>
      <c r="F1736" s="2"/>
      <c r="G1736" s="2"/>
      <c r="H1736" s="2"/>
      <c r="I1736" s="2"/>
    </row>
    <row r="1737" spans="1:9">
      <c r="A1737" s="2"/>
      <c r="B1737" s="2"/>
      <c r="C1737" s="2"/>
      <c r="D1737" s="2"/>
      <c r="E1737" s="2"/>
      <c r="F1737" s="2"/>
      <c r="G1737" s="2"/>
      <c r="H1737" s="2"/>
      <c r="I1737" s="2"/>
    </row>
    <row r="1738" spans="1:9">
      <c r="A1738" s="2"/>
      <c r="B1738" s="2"/>
      <c r="C1738" s="2"/>
      <c r="D1738" s="2"/>
      <c r="E1738" s="2"/>
      <c r="F1738" s="2"/>
      <c r="G1738" s="2"/>
      <c r="H1738" s="2"/>
      <c r="I1738" s="2"/>
    </row>
    <row r="1739" spans="1:9">
      <c r="A1739" s="3"/>
      <c r="B1739" s="3"/>
      <c r="C1739" s="3"/>
      <c r="D1739" s="3"/>
      <c r="E1739" s="3"/>
      <c r="F1739" s="3"/>
      <c r="G1739" s="3"/>
      <c r="H1739" s="3"/>
      <c r="I1739" s="3"/>
    </row>
    <row r="1741" spans="1:9">
      <c r="A1741" s="4"/>
      <c r="B1741" s="4"/>
      <c r="C1741" s="4"/>
      <c r="D1741" s="4"/>
      <c r="E1741" s="4"/>
      <c r="F1741" s="4"/>
      <c r="G1741" s="4"/>
      <c r="H1741" s="4"/>
      <c r="I1741" s="4"/>
    </row>
    <row r="1742" spans="1:9">
      <c r="A1742" s="1"/>
    </row>
    <row r="1743" spans="1:9">
      <c r="A1743" s="2"/>
      <c r="B1743" s="2"/>
      <c r="C1743" s="2"/>
      <c r="D1743" s="2"/>
      <c r="E1743" s="2"/>
      <c r="F1743" s="2"/>
      <c r="G1743" s="2"/>
      <c r="H1743" s="2"/>
      <c r="I1743" s="2"/>
    </row>
    <row r="1744" spans="1:9">
      <c r="A1744" s="2"/>
      <c r="B1744" s="2"/>
      <c r="C1744" s="2"/>
      <c r="D1744" s="2"/>
      <c r="E1744" s="2"/>
      <c r="F1744" s="2"/>
      <c r="G1744" s="2"/>
      <c r="H1744" s="2"/>
      <c r="I1744" s="2"/>
    </row>
    <row r="1745" spans="1:9">
      <c r="A1745" s="2"/>
      <c r="B1745" s="2"/>
      <c r="C1745" s="2"/>
      <c r="D1745" s="2"/>
      <c r="E1745" s="2"/>
      <c r="F1745" s="2"/>
      <c r="G1745" s="2"/>
      <c r="H1745" s="2"/>
      <c r="I1745" s="2"/>
    </row>
    <row r="1746" spans="1:9">
      <c r="A1746" s="2"/>
      <c r="B1746" s="2"/>
      <c r="C1746" s="2"/>
      <c r="D1746" s="2"/>
      <c r="E1746" s="2"/>
      <c r="F1746" s="2"/>
      <c r="G1746" s="2"/>
      <c r="H1746" s="2"/>
      <c r="I1746" s="2"/>
    </row>
    <row r="1747" spans="1:9">
      <c r="A1747" s="2"/>
      <c r="B1747" s="2"/>
      <c r="C1747" s="2"/>
      <c r="D1747" s="2"/>
      <c r="E1747" s="2"/>
      <c r="F1747" s="2"/>
      <c r="G1747" s="2"/>
      <c r="H1747" s="2"/>
      <c r="I1747" s="2"/>
    </row>
    <row r="1748" spans="1:9">
      <c r="A1748" s="2"/>
      <c r="B1748" s="2"/>
      <c r="C1748" s="2"/>
      <c r="D1748" s="2"/>
      <c r="E1748" s="2"/>
      <c r="F1748" s="2"/>
      <c r="G1748" s="2"/>
      <c r="H1748" s="2"/>
      <c r="I1748" s="2"/>
    </row>
    <row r="1749" spans="1:9">
      <c r="A1749" s="3"/>
      <c r="B1749" s="3"/>
      <c r="C1749" s="3"/>
      <c r="D1749" s="3"/>
      <c r="E1749" s="3"/>
      <c r="F1749" s="3"/>
      <c r="G1749" s="3"/>
      <c r="H1749" s="3"/>
      <c r="I1749" s="3"/>
    </row>
    <row r="1751" spans="1:9">
      <c r="A1751" s="4"/>
      <c r="B1751" s="4"/>
      <c r="C1751" s="4"/>
      <c r="D1751" s="4"/>
      <c r="E1751" s="4"/>
      <c r="F1751" s="4"/>
      <c r="G1751" s="4"/>
      <c r="H1751" s="4"/>
      <c r="I1751" s="4"/>
    </row>
    <row r="1752" spans="1:9">
      <c r="A1752" s="1"/>
    </row>
    <row r="1753" spans="1:9">
      <c r="A1753" s="2"/>
      <c r="B1753" s="2"/>
      <c r="C1753" s="2"/>
      <c r="D1753" s="2"/>
      <c r="E1753" s="2"/>
      <c r="F1753" s="2"/>
      <c r="G1753" s="2"/>
      <c r="H1753" s="2"/>
      <c r="I1753" s="2"/>
    </row>
    <row r="1754" spans="1:9">
      <c r="A1754" s="2"/>
      <c r="B1754" s="2"/>
      <c r="C1754" s="2"/>
      <c r="D1754" s="2"/>
      <c r="E1754" s="2"/>
      <c r="F1754" s="2"/>
      <c r="G1754" s="2"/>
      <c r="H1754" s="2"/>
      <c r="I1754" s="2"/>
    </row>
    <row r="1755" spans="1:9">
      <c r="A1755" s="2"/>
      <c r="B1755" s="2"/>
      <c r="C1755" s="2"/>
      <c r="D1755" s="2"/>
      <c r="E1755" s="2"/>
      <c r="F1755" s="2"/>
      <c r="G1755" s="2"/>
      <c r="H1755" s="2"/>
      <c r="I1755" s="2"/>
    </row>
    <row r="1756" spans="1:9">
      <c r="A1756" s="2"/>
      <c r="B1756" s="2"/>
      <c r="C1756" s="2"/>
      <c r="D1756" s="2"/>
      <c r="E1756" s="2"/>
      <c r="F1756" s="2"/>
      <c r="G1756" s="2"/>
      <c r="H1756" s="2"/>
      <c r="I1756" s="2"/>
    </row>
    <row r="1757" spans="1:9">
      <c r="A1757" s="2"/>
      <c r="B1757" s="2"/>
      <c r="C1757" s="2"/>
      <c r="D1757" s="2"/>
      <c r="E1757" s="2"/>
      <c r="F1757" s="2"/>
      <c r="G1757" s="2"/>
      <c r="H1757" s="2"/>
      <c r="I1757" s="2"/>
    </row>
    <row r="1758" spans="1:9">
      <c r="A1758" s="2"/>
      <c r="B1758" s="2"/>
      <c r="C1758" s="2"/>
      <c r="D1758" s="2"/>
      <c r="E1758" s="2"/>
      <c r="F1758" s="2"/>
      <c r="G1758" s="2"/>
      <c r="H1758" s="2"/>
      <c r="I1758" s="2"/>
    </row>
    <row r="1760" spans="1:9">
      <c r="A1760" s="4"/>
      <c r="B1760" s="4"/>
      <c r="C1760" s="4"/>
      <c r="D1760" s="4"/>
      <c r="E1760" s="4"/>
      <c r="F1760" s="4"/>
      <c r="G1760" s="4"/>
      <c r="H1760" s="4"/>
      <c r="I1760" s="4"/>
    </row>
    <row r="1761" spans="1:9">
      <c r="A1761" s="4"/>
      <c r="B1761" s="4"/>
      <c r="C1761" s="4"/>
      <c r="D1761" s="4"/>
      <c r="E1761" s="4"/>
      <c r="F1761" s="4"/>
      <c r="G1761" s="4"/>
      <c r="H1761" s="4"/>
      <c r="I1761" s="4"/>
    </row>
    <row r="1762" spans="1:9">
      <c r="A1762" s="1"/>
    </row>
    <row r="1763" spans="1:9">
      <c r="A1763" s="2"/>
      <c r="B1763" s="2"/>
      <c r="C1763" s="2"/>
      <c r="D1763" s="2"/>
      <c r="E1763" s="2"/>
      <c r="F1763" s="2"/>
      <c r="G1763" s="2"/>
      <c r="H1763" s="2"/>
      <c r="I1763" s="2"/>
    </row>
    <row r="1764" spans="1:9">
      <c r="A1764" s="2"/>
      <c r="B1764" s="2"/>
      <c r="C1764" s="2"/>
      <c r="D1764" s="2"/>
      <c r="E1764" s="2"/>
      <c r="F1764" s="2"/>
      <c r="G1764" s="2"/>
      <c r="H1764" s="2"/>
      <c r="I1764" s="2"/>
    </row>
    <row r="1765" spans="1:9">
      <c r="A1765" s="2"/>
      <c r="B1765" s="2"/>
      <c r="C1765" s="2"/>
      <c r="D1765" s="2"/>
      <c r="E1765" s="2"/>
      <c r="F1765" s="2"/>
      <c r="G1765" s="2"/>
      <c r="H1765" s="2"/>
      <c r="I1765" s="2"/>
    </row>
    <row r="1766" spans="1:9">
      <c r="A1766" s="2"/>
      <c r="B1766" s="2"/>
      <c r="C1766" s="2"/>
      <c r="D1766" s="2"/>
      <c r="E1766" s="2"/>
      <c r="F1766" s="2"/>
      <c r="G1766" s="2"/>
      <c r="H1766" s="2"/>
      <c r="I1766" s="2"/>
    </row>
    <row r="1767" spans="1:9">
      <c r="A1767" s="2"/>
      <c r="B1767" s="2"/>
      <c r="C1767" s="2"/>
      <c r="D1767" s="2"/>
      <c r="E1767" s="2"/>
      <c r="F1767" s="2"/>
      <c r="G1767" s="2"/>
      <c r="H1767" s="2"/>
      <c r="I1767" s="2"/>
    </row>
    <row r="1768" spans="1:9">
      <c r="A1768" s="2"/>
      <c r="B1768" s="2"/>
      <c r="C1768" s="2"/>
      <c r="D1768" s="2"/>
      <c r="E1768" s="2"/>
      <c r="F1768" s="2"/>
      <c r="G1768" s="2"/>
      <c r="H1768" s="2"/>
      <c r="I1768" s="2"/>
    </row>
    <row r="1769" spans="1:9">
      <c r="A1769" s="3"/>
      <c r="B1769" s="3"/>
      <c r="C1769" s="3"/>
      <c r="D1769" s="3"/>
      <c r="E1769" s="3"/>
      <c r="F1769" s="3"/>
      <c r="G1769" s="3"/>
      <c r="H1769" s="3"/>
      <c r="I1769" s="3"/>
    </row>
    <row r="1771" spans="1:9">
      <c r="A1771" s="4"/>
      <c r="B1771" s="4"/>
      <c r="C1771" s="4"/>
      <c r="D1771" s="4"/>
      <c r="E1771" s="4"/>
      <c r="F1771" s="4"/>
      <c r="G1771" s="4"/>
      <c r="H1771" s="4"/>
      <c r="I1771" s="4"/>
    </row>
    <row r="1772" spans="1:9">
      <c r="A1772" s="1"/>
    </row>
    <row r="1773" spans="1:9">
      <c r="A1773" s="2"/>
      <c r="B1773" s="2"/>
      <c r="C1773" s="2"/>
      <c r="D1773" s="2"/>
      <c r="E1773" s="2"/>
      <c r="F1773" s="2"/>
      <c r="G1773" s="2"/>
      <c r="H1773" s="2"/>
      <c r="I1773" s="2"/>
    </row>
    <row r="1774" spans="1:9">
      <c r="A1774" s="2"/>
      <c r="B1774" s="2"/>
      <c r="C1774" s="2"/>
      <c r="D1774" s="2"/>
      <c r="E1774" s="2"/>
      <c r="F1774" s="2"/>
      <c r="G1774" s="2"/>
      <c r="H1774" s="2"/>
      <c r="I1774" s="2"/>
    </row>
    <row r="1775" spans="1:9">
      <c r="A1775" s="2"/>
      <c r="B1775" s="2"/>
      <c r="C1775" s="2"/>
      <c r="D1775" s="2"/>
      <c r="E1775" s="2"/>
      <c r="F1775" s="2"/>
      <c r="G1775" s="2"/>
      <c r="H1775" s="2"/>
      <c r="I1775" s="2"/>
    </row>
    <row r="1776" spans="1:9">
      <c r="A1776" s="2"/>
      <c r="B1776" s="2"/>
      <c r="C1776" s="2"/>
      <c r="D1776" s="2"/>
      <c r="E1776" s="2"/>
      <c r="F1776" s="2"/>
      <c r="G1776" s="2"/>
      <c r="H1776" s="2"/>
      <c r="I1776" s="2"/>
    </row>
    <row r="1777" spans="1:9">
      <c r="A1777" s="2"/>
      <c r="B1777" s="2"/>
      <c r="C1777" s="2"/>
      <c r="D1777" s="2"/>
      <c r="E1777" s="2"/>
      <c r="F1777" s="2"/>
      <c r="G1777" s="2"/>
      <c r="H1777" s="2"/>
      <c r="I1777" s="2"/>
    </row>
    <row r="1778" spans="1:9">
      <c r="A1778" s="2"/>
      <c r="B1778" s="2"/>
      <c r="C1778" s="2"/>
      <c r="D1778" s="2"/>
      <c r="E1778" s="2"/>
      <c r="F1778" s="2"/>
      <c r="G1778" s="2"/>
      <c r="H1778" s="2"/>
      <c r="I1778" s="2"/>
    </row>
    <row r="1779" spans="1:9">
      <c r="A1779" s="3"/>
      <c r="B1779" s="3"/>
      <c r="C1779" s="3"/>
      <c r="D1779" s="3"/>
      <c r="E1779" s="3"/>
      <c r="F1779" s="3"/>
      <c r="G1779" s="3"/>
      <c r="H1779" s="3"/>
      <c r="I1779" s="3"/>
    </row>
    <row r="1781" spans="1:9">
      <c r="A1781" s="4"/>
      <c r="B1781" s="4"/>
      <c r="C1781" s="4"/>
      <c r="D1781" s="4"/>
      <c r="E1781" s="4"/>
      <c r="F1781" s="4"/>
      <c r="G1781" s="4"/>
      <c r="H1781" s="4"/>
      <c r="I1781" s="4"/>
    </row>
    <row r="1782" spans="1:9">
      <c r="A1782" s="1"/>
    </row>
    <row r="1783" spans="1:9">
      <c r="A1783" s="2"/>
      <c r="B1783" s="2"/>
      <c r="C1783" s="2"/>
      <c r="D1783" s="2"/>
      <c r="E1783" s="2"/>
      <c r="F1783" s="2"/>
      <c r="G1783" s="2"/>
      <c r="H1783" s="2"/>
      <c r="I1783" s="2"/>
    </row>
    <row r="1784" spans="1:9">
      <c r="A1784" s="2"/>
      <c r="B1784" s="2"/>
      <c r="C1784" s="2"/>
      <c r="D1784" s="2"/>
      <c r="E1784" s="2"/>
      <c r="F1784" s="2"/>
      <c r="G1784" s="2"/>
      <c r="H1784" s="2"/>
      <c r="I1784" s="2"/>
    </row>
    <row r="1785" spans="1:9">
      <c r="A1785" s="2"/>
      <c r="B1785" s="2"/>
      <c r="C1785" s="2"/>
      <c r="D1785" s="2"/>
      <c r="E1785" s="2"/>
      <c r="F1785" s="2"/>
      <c r="G1785" s="2"/>
      <c r="H1785" s="2"/>
      <c r="I1785" s="2"/>
    </row>
    <row r="1786" spans="1:9">
      <c r="A1786" s="2"/>
      <c r="B1786" s="2"/>
      <c r="C1786" s="2"/>
      <c r="D1786" s="2"/>
      <c r="E1786" s="2"/>
      <c r="F1786" s="2"/>
      <c r="G1786" s="2"/>
      <c r="H1786" s="2"/>
      <c r="I1786" s="2"/>
    </row>
    <row r="1787" spans="1:9">
      <c r="A1787" s="2"/>
      <c r="B1787" s="2"/>
      <c r="C1787" s="2"/>
      <c r="D1787" s="2"/>
      <c r="E1787" s="2"/>
      <c r="F1787" s="2"/>
      <c r="G1787" s="2"/>
      <c r="H1787" s="2"/>
      <c r="I1787" s="2"/>
    </row>
    <row r="1788" spans="1:9">
      <c r="A1788" s="2"/>
      <c r="B1788" s="2"/>
      <c r="C1788" s="2"/>
      <c r="D1788" s="2"/>
      <c r="E1788" s="2"/>
      <c r="F1788" s="2"/>
      <c r="G1788" s="2"/>
      <c r="H1788" s="2"/>
      <c r="I1788" s="2"/>
    </row>
    <row r="1790" spans="1:9">
      <c r="A1790" s="4"/>
      <c r="B1790" s="4"/>
      <c r="C1790" s="4"/>
      <c r="D1790" s="4"/>
      <c r="E1790" s="4"/>
      <c r="F1790" s="4"/>
      <c r="G1790" s="4"/>
      <c r="H1790" s="4"/>
      <c r="I1790" s="4"/>
    </row>
    <row r="1791" spans="1:9">
      <c r="A1791" s="4"/>
      <c r="B1791" s="4"/>
      <c r="C1791" s="4"/>
      <c r="D1791" s="4"/>
      <c r="E1791" s="4"/>
      <c r="F1791" s="4"/>
      <c r="G1791" s="4"/>
      <c r="H1791" s="4"/>
      <c r="I1791" s="4"/>
    </row>
    <row r="1792" spans="1:9">
      <c r="A1792" s="1"/>
    </row>
    <row r="1793" spans="1:9">
      <c r="A1793" s="2"/>
      <c r="B1793" s="2"/>
      <c r="C1793" s="2"/>
      <c r="D1793" s="2"/>
      <c r="E1793" s="2"/>
      <c r="F1793" s="2"/>
      <c r="G1793" s="2"/>
      <c r="H1793" s="2"/>
      <c r="I1793" s="2"/>
    </row>
    <row r="1794" spans="1:9">
      <c r="A1794" s="2"/>
      <c r="B1794" s="2"/>
      <c r="C1794" s="2"/>
      <c r="D1794" s="2"/>
      <c r="E1794" s="2"/>
      <c r="F1794" s="2"/>
      <c r="G1794" s="2"/>
      <c r="H1794" s="2"/>
      <c r="I1794" s="2"/>
    </row>
    <row r="1795" spans="1:9">
      <c r="A1795" s="2"/>
      <c r="B1795" s="2"/>
      <c r="C1795" s="2"/>
      <c r="D1795" s="2"/>
      <c r="E1795" s="2"/>
      <c r="F1795" s="2"/>
      <c r="G1795" s="2"/>
      <c r="H1795" s="2"/>
      <c r="I1795" s="2"/>
    </row>
    <row r="1796" spans="1:9">
      <c r="A1796" s="2"/>
      <c r="B1796" s="2"/>
      <c r="C1796" s="2"/>
      <c r="D1796" s="2"/>
      <c r="E1796" s="2"/>
      <c r="F1796" s="2"/>
      <c r="G1796" s="2"/>
      <c r="H1796" s="2"/>
      <c r="I1796" s="2"/>
    </row>
    <row r="1797" spans="1:9">
      <c r="A1797" s="2"/>
      <c r="B1797" s="2"/>
      <c r="C1797" s="2"/>
      <c r="D1797" s="2"/>
      <c r="E1797" s="2"/>
      <c r="F1797" s="2"/>
      <c r="G1797" s="2"/>
      <c r="H1797" s="2"/>
      <c r="I1797" s="2"/>
    </row>
    <row r="1798" spans="1:9">
      <c r="A1798" s="2"/>
      <c r="B1798" s="2"/>
      <c r="C1798" s="2"/>
      <c r="D1798" s="2"/>
      <c r="E1798" s="2"/>
      <c r="F1798" s="2"/>
      <c r="G1798" s="2"/>
      <c r="H1798" s="2"/>
      <c r="I1798" s="2"/>
    </row>
    <row r="1799" spans="1:9">
      <c r="A1799" s="3"/>
      <c r="B1799" s="3"/>
      <c r="C1799" s="3"/>
      <c r="D1799" s="3"/>
      <c r="E1799" s="3"/>
      <c r="F1799" s="3"/>
      <c r="G1799" s="3"/>
      <c r="H1799" s="3"/>
      <c r="I1799" s="3"/>
    </row>
    <row r="1801" spans="1:9">
      <c r="A1801" s="4"/>
      <c r="B1801" s="4"/>
      <c r="C1801" s="4"/>
      <c r="D1801" s="4"/>
      <c r="E1801" s="4"/>
      <c r="F1801" s="4"/>
      <c r="G1801" s="4"/>
      <c r="H1801" s="4"/>
      <c r="I1801" s="4"/>
    </row>
    <row r="1802" spans="1:9">
      <c r="A1802" s="1"/>
    </row>
    <row r="1803" spans="1:9">
      <c r="A1803" s="2"/>
      <c r="B1803" s="2"/>
      <c r="C1803" s="2"/>
      <c r="D1803" s="2"/>
      <c r="E1803" s="2"/>
      <c r="F1803" s="2"/>
      <c r="G1803" s="2"/>
      <c r="H1803" s="2"/>
      <c r="I1803" s="2"/>
    </row>
    <row r="1804" spans="1:9">
      <c r="A1804" s="2"/>
      <c r="B1804" s="2"/>
      <c r="C1804" s="2"/>
      <c r="D1804" s="2"/>
      <c r="E1804" s="2"/>
      <c r="F1804" s="2"/>
      <c r="G1804" s="2"/>
      <c r="H1804" s="2"/>
      <c r="I1804" s="2"/>
    </row>
    <row r="1805" spans="1:9">
      <c r="A1805" s="2"/>
      <c r="B1805" s="2"/>
      <c r="C1805" s="2"/>
      <c r="D1805" s="2"/>
      <c r="E1805" s="2"/>
      <c r="F1805" s="2"/>
      <c r="G1805" s="2"/>
      <c r="H1805" s="2"/>
      <c r="I1805" s="2"/>
    </row>
    <row r="1806" spans="1:9">
      <c r="A1806" s="2"/>
      <c r="B1806" s="2"/>
      <c r="C1806" s="2"/>
      <c r="D1806" s="2"/>
      <c r="E1806" s="2"/>
      <c r="F1806" s="2"/>
      <c r="G1806" s="2"/>
      <c r="H1806" s="2"/>
      <c r="I1806" s="2"/>
    </row>
    <row r="1807" spans="1:9">
      <c r="A1807" s="2"/>
      <c r="B1807" s="2"/>
      <c r="C1807" s="2"/>
      <c r="D1807" s="2"/>
      <c r="E1807" s="2"/>
      <c r="F1807" s="2"/>
      <c r="G1807" s="2"/>
      <c r="H1807" s="2"/>
      <c r="I1807" s="2"/>
    </row>
    <row r="1808" spans="1:9">
      <c r="A1808" s="2"/>
      <c r="B1808" s="2"/>
      <c r="C1808" s="2"/>
      <c r="D1808" s="2"/>
      <c r="E1808" s="2"/>
      <c r="F1808" s="2"/>
      <c r="G1808" s="2"/>
      <c r="H1808" s="2"/>
      <c r="I1808" s="2"/>
    </row>
    <row r="1809" spans="1:9">
      <c r="A1809" s="3"/>
      <c r="B1809" s="3"/>
      <c r="C1809" s="3"/>
      <c r="D1809" s="3"/>
      <c r="E1809" s="3"/>
      <c r="F1809" s="3"/>
      <c r="G1809" s="3"/>
      <c r="H1809" s="3"/>
      <c r="I1809" s="3"/>
    </row>
    <row r="1811" spans="1:9">
      <c r="A1811" s="4"/>
      <c r="B1811" s="4"/>
      <c r="C1811" s="4"/>
      <c r="D1811" s="4"/>
      <c r="E1811" s="4"/>
      <c r="F1811" s="4"/>
      <c r="G1811" s="4"/>
      <c r="H1811" s="4"/>
      <c r="I1811" s="4"/>
    </row>
    <row r="1812" spans="1:9">
      <c r="A1812" s="1"/>
    </row>
    <row r="1813" spans="1:9">
      <c r="A1813" s="2"/>
      <c r="B1813" s="2"/>
      <c r="C1813" s="2"/>
      <c r="D1813" s="2"/>
      <c r="E1813" s="2"/>
      <c r="F1813" s="2"/>
      <c r="G1813" s="2"/>
      <c r="H1813" s="2"/>
      <c r="I1813" s="2"/>
    </row>
    <row r="1814" spans="1:9">
      <c r="A1814" s="2"/>
      <c r="B1814" s="2"/>
      <c r="C1814" s="2"/>
      <c r="D1814" s="2"/>
      <c r="E1814" s="2"/>
      <c r="F1814" s="2"/>
      <c r="G1814" s="2"/>
      <c r="H1814" s="2"/>
      <c r="I1814" s="2"/>
    </row>
    <row r="1815" spans="1:9">
      <c r="A1815" s="2"/>
      <c r="B1815" s="2"/>
      <c r="C1815" s="2"/>
      <c r="D1815" s="2"/>
      <c r="E1815" s="2"/>
      <c r="F1815" s="2"/>
      <c r="G1815" s="2"/>
      <c r="H1815" s="2"/>
      <c r="I1815" s="2"/>
    </row>
    <row r="1816" spans="1:9">
      <c r="A1816" s="2"/>
      <c r="B1816" s="2"/>
      <c r="C1816" s="2"/>
      <c r="D1816" s="2"/>
      <c r="E1816" s="2"/>
      <c r="F1816" s="2"/>
      <c r="G1816" s="2"/>
      <c r="H1816" s="2"/>
      <c r="I1816" s="2"/>
    </row>
    <row r="1817" spans="1:9">
      <c r="A1817" s="2"/>
      <c r="B1817" s="2"/>
      <c r="C1817" s="2"/>
      <c r="D1817" s="2"/>
      <c r="E1817" s="2"/>
      <c r="F1817" s="2"/>
      <c r="G1817" s="2"/>
      <c r="H1817" s="2"/>
      <c r="I1817" s="2"/>
    </row>
    <row r="1818" spans="1:9">
      <c r="A1818" s="2"/>
      <c r="B1818" s="2"/>
      <c r="C1818" s="2"/>
      <c r="D1818" s="2"/>
      <c r="E1818" s="2"/>
      <c r="F1818" s="2"/>
      <c r="G1818" s="2"/>
      <c r="H1818" s="2"/>
      <c r="I1818" s="2"/>
    </row>
    <row r="1820" spans="1:9">
      <c r="A1820" s="4"/>
      <c r="B1820" s="4"/>
      <c r="C1820" s="4"/>
      <c r="D1820" s="4"/>
      <c r="E1820" s="4"/>
      <c r="F1820" s="4"/>
      <c r="G1820" s="4"/>
      <c r="H1820" s="4"/>
      <c r="I1820" s="4"/>
    </row>
    <row r="1821" spans="1:9">
      <c r="A1821" s="4"/>
      <c r="B1821" s="4"/>
      <c r="C1821" s="4"/>
      <c r="D1821" s="4"/>
      <c r="E1821" s="4"/>
      <c r="F1821" s="4"/>
      <c r="G1821" s="4"/>
      <c r="H1821" s="4"/>
      <c r="I1821" s="4"/>
    </row>
    <row r="1822" spans="1:9">
      <c r="A1822" s="1"/>
    </row>
    <row r="1823" spans="1:9">
      <c r="A1823" s="2"/>
      <c r="B1823" s="2"/>
      <c r="C1823" s="2"/>
      <c r="D1823" s="2"/>
      <c r="E1823" s="2"/>
      <c r="F1823" s="2"/>
      <c r="G1823" s="2"/>
      <c r="H1823" s="2"/>
      <c r="I1823" s="2"/>
    </row>
    <row r="1824" spans="1:9">
      <c r="A1824" s="2"/>
      <c r="B1824" s="2"/>
      <c r="C1824" s="2"/>
      <c r="D1824" s="2"/>
      <c r="E1824" s="2"/>
      <c r="F1824" s="2"/>
      <c r="G1824" s="2"/>
      <c r="H1824" s="2"/>
      <c r="I1824" s="2"/>
    </row>
    <row r="1825" spans="1:9">
      <c r="A1825" s="2"/>
      <c r="B1825" s="2"/>
      <c r="C1825" s="2"/>
      <c r="D1825" s="2"/>
      <c r="E1825" s="2"/>
      <c r="F1825" s="2"/>
      <c r="G1825" s="2"/>
      <c r="H1825" s="2"/>
      <c r="I1825" s="2"/>
    </row>
    <row r="1826" spans="1:9">
      <c r="A1826" s="2"/>
      <c r="B1826" s="2"/>
      <c r="C1826" s="2"/>
      <c r="D1826" s="2"/>
      <c r="E1826" s="2"/>
      <c r="F1826" s="2"/>
      <c r="G1826" s="2"/>
      <c r="H1826" s="2"/>
      <c r="I1826" s="2"/>
    </row>
    <row r="1827" spans="1:9">
      <c r="A1827" s="2"/>
      <c r="B1827" s="2"/>
      <c r="C1827" s="2"/>
      <c r="D1827" s="2"/>
      <c r="E1827" s="2"/>
      <c r="F1827" s="2"/>
      <c r="G1827" s="2"/>
      <c r="H1827" s="2"/>
      <c r="I1827" s="2"/>
    </row>
    <row r="1828" spans="1:9">
      <c r="A1828" s="2"/>
      <c r="B1828" s="2"/>
      <c r="C1828" s="2"/>
      <c r="D1828" s="2"/>
      <c r="E1828" s="2"/>
      <c r="F1828" s="2"/>
      <c r="G1828" s="2"/>
      <c r="H1828" s="2"/>
      <c r="I1828" s="2"/>
    </row>
    <row r="1829" spans="1:9">
      <c r="A1829" s="3"/>
      <c r="B1829" s="3"/>
      <c r="C1829" s="3"/>
      <c r="D1829" s="3"/>
      <c r="E1829" s="3"/>
      <c r="F1829" s="3"/>
      <c r="G1829" s="3"/>
      <c r="H1829" s="3"/>
      <c r="I1829" s="3"/>
    </row>
    <row r="1831" spans="1:9">
      <c r="A1831" s="4"/>
      <c r="B1831" s="4"/>
      <c r="C1831" s="4"/>
      <c r="D1831" s="4"/>
      <c r="E1831" s="4"/>
      <c r="F1831" s="4"/>
      <c r="G1831" s="4"/>
      <c r="H1831" s="4"/>
      <c r="I1831" s="4"/>
    </row>
    <row r="1832" spans="1:9">
      <c r="A1832" s="1"/>
    </row>
    <row r="1833" spans="1:9">
      <c r="A1833" s="2"/>
      <c r="B1833" s="2"/>
      <c r="C1833" s="2"/>
      <c r="D1833" s="2"/>
      <c r="E1833" s="2"/>
      <c r="F1833" s="2"/>
      <c r="G1833" s="2"/>
      <c r="H1833" s="2"/>
      <c r="I1833" s="2"/>
    </row>
    <row r="1834" spans="1:9">
      <c r="A1834" s="2"/>
      <c r="B1834" s="2"/>
      <c r="C1834" s="2"/>
      <c r="D1834" s="2"/>
      <c r="E1834" s="2"/>
      <c r="F1834" s="2"/>
      <c r="G1834" s="2"/>
      <c r="H1834" s="2"/>
      <c r="I1834" s="2"/>
    </row>
    <row r="1835" spans="1:9">
      <c r="A1835" s="2"/>
      <c r="B1835" s="2"/>
      <c r="C1835" s="2"/>
      <c r="D1835" s="2"/>
      <c r="E1835" s="2"/>
      <c r="F1835" s="2"/>
      <c r="G1835" s="2"/>
      <c r="H1835" s="2"/>
      <c r="I1835" s="2"/>
    </row>
    <row r="1836" spans="1:9">
      <c r="A1836" s="2"/>
      <c r="B1836" s="2"/>
      <c r="C1836" s="2"/>
      <c r="D1836" s="2"/>
      <c r="E1836" s="2"/>
      <c r="F1836" s="2"/>
      <c r="G1836" s="2"/>
      <c r="H1836" s="2"/>
      <c r="I1836" s="2"/>
    </row>
    <row r="1837" spans="1:9">
      <c r="A1837" s="2"/>
      <c r="B1837" s="2"/>
      <c r="C1837" s="2"/>
      <c r="D1837" s="2"/>
      <c r="E1837" s="2"/>
      <c r="F1837" s="2"/>
      <c r="G1837" s="2"/>
      <c r="H1837" s="2"/>
      <c r="I1837" s="2"/>
    </row>
    <row r="1838" spans="1:9">
      <c r="A1838" s="2"/>
      <c r="B1838" s="2"/>
      <c r="C1838" s="2"/>
      <c r="D1838" s="2"/>
      <c r="E1838" s="2"/>
      <c r="F1838" s="2"/>
      <c r="G1838" s="2"/>
      <c r="H1838" s="2"/>
      <c r="I1838" s="2"/>
    </row>
    <row r="1839" spans="1:9">
      <c r="A1839" s="3"/>
      <c r="B1839" s="3"/>
      <c r="C1839" s="3"/>
      <c r="D1839" s="3"/>
      <c r="E1839" s="3"/>
      <c r="F1839" s="3"/>
      <c r="G1839" s="3"/>
      <c r="H1839" s="3"/>
      <c r="I1839" s="3"/>
    </row>
    <row r="1841" spans="1:9">
      <c r="A1841" s="4"/>
      <c r="B1841" s="4"/>
      <c r="C1841" s="4"/>
      <c r="D1841" s="4"/>
      <c r="E1841" s="4"/>
      <c r="F1841" s="4"/>
      <c r="G1841" s="4"/>
      <c r="H1841" s="4"/>
      <c r="I1841" s="4"/>
    </row>
    <row r="1842" spans="1:9">
      <c r="A1842" s="1"/>
    </row>
    <row r="1843" spans="1:9">
      <c r="A1843" s="2"/>
      <c r="B1843" s="2"/>
      <c r="C1843" s="2"/>
      <c r="D1843" s="2"/>
      <c r="E1843" s="2"/>
      <c r="F1843" s="2"/>
      <c r="G1843" s="2"/>
      <c r="H1843" s="2"/>
      <c r="I1843" s="2"/>
    </row>
    <row r="1844" spans="1:9">
      <c r="A1844" s="2"/>
      <c r="B1844" s="2"/>
      <c r="C1844" s="2"/>
      <c r="D1844" s="2"/>
      <c r="E1844" s="2"/>
      <c r="F1844" s="2"/>
      <c r="G1844" s="2"/>
      <c r="H1844" s="2"/>
      <c r="I1844" s="2"/>
    </row>
    <row r="1845" spans="1:9">
      <c r="A1845" s="2"/>
      <c r="B1845" s="2"/>
      <c r="C1845" s="2"/>
      <c r="D1845" s="2"/>
      <c r="E1845" s="2"/>
      <c r="F1845" s="2"/>
      <c r="G1845" s="2"/>
      <c r="H1845" s="2"/>
      <c r="I1845" s="2"/>
    </row>
    <row r="1846" spans="1:9">
      <c r="A1846" s="2"/>
      <c r="B1846" s="2"/>
      <c r="C1846" s="2"/>
      <c r="D1846" s="2"/>
      <c r="E1846" s="2"/>
      <c r="F1846" s="2"/>
      <c r="G1846" s="2"/>
      <c r="H1846" s="2"/>
      <c r="I1846" s="2"/>
    </row>
    <row r="1847" spans="1:9">
      <c r="A1847" s="2"/>
      <c r="B1847" s="2"/>
      <c r="C1847" s="2"/>
      <c r="D1847" s="2"/>
      <c r="E1847" s="2"/>
      <c r="F1847" s="2"/>
      <c r="G1847" s="2"/>
      <c r="H1847" s="2"/>
      <c r="I1847" s="2"/>
    </row>
    <row r="1848" spans="1:9">
      <c r="A1848" s="2"/>
      <c r="B1848" s="2"/>
      <c r="C1848" s="2"/>
      <c r="D1848" s="2"/>
      <c r="E1848" s="2"/>
      <c r="F1848" s="2"/>
      <c r="G1848" s="2"/>
      <c r="H1848" s="2"/>
      <c r="I1848" s="2"/>
    </row>
    <row r="1850" spans="1:9">
      <c r="A1850" s="4"/>
      <c r="B1850" s="4"/>
      <c r="C1850" s="4"/>
      <c r="D1850" s="4"/>
      <c r="E1850" s="4"/>
      <c r="F1850" s="4"/>
      <c r="G1850" s="4"/>
      <c r="H1850" s="4"/>
      <c r="I1850" s="4"/>
    </row>
    <row r="1851" spans="1:9">
      <c r="A1851" s="4"/>
      <c r="B1851" s="4"/>
      <c r="C1851" s="4"/>
      <c r="D1851" s="4"/>
      <c r="E1851" s="4"/>
      <c r="F1851" s="4"/>
      <c r="G1851" s="4"/>
      <c r="H1851" s="4"/>
      <c r="I1851" s="4"/>
    </row>
    <row r="1852" spans="1:9">
      <c r="A1852" s="1"/>
    </row>
    <row r="1853" spans="1:9">
      <c r="A1853" s="2"/>
      <c r="B1853" s="2"/>
      <c r="C1853" s="2"/>
      <c r="D1853" s="2"/>
      <c r="E1853" s="2"/>
      <c r="F1853" s="2"/>
      <c r="G1853" s="2"/>
      <c r="H1853" s="2"/>
      <c r="I1853" s="2"/>
    </row>
    <row r="1854" spans="1:9">
      <c r="A1854" s="2"/>
      <c r="B1854" s="2"/>
      <c r="C1854" s="2"/>
      <c r="D1854" s="2"/>
      <c r="E1854" s="2"/>
      <c r="F1854" s="2"/>
      <c r="G1854" s="2"/>
      <c r="H1854" s="2"/>
      <c r="I1854" s="2"/>
    </row>
    <row r="1855" spans="1:9">
      <c r="A1855" s="2"/>
      <c r="B1855" s="2"/>
      <c r="C1855" s="2"/>
      <c r="D1855" s="2"/>
      <c r="E1855" s="2"/>
      <c r="F1855" s="2"/>
      <c r="G1855" s="2"/>
      <c r="H1855" s="2"/>
      <c r="I1855" s="2"/>
    </row>
    <row r="1856" spans="1:9">
      <c r="A1856" s="2"/>
      <c r="B1856" s="2"/>
      <c r="C1856" s="2"/>
      <c r="D1856" s="2"/>
      <c r="E1856" s="2"/>
      <c r="F1856" s="2"/>
      <c r="G1856" s="2"/>
      <c r="H1856" s="2"/>
      <c r="I1856" s="2"/>
    </row>
    <row r="1857" spans="1:9">
      <c r="A1857" s="2"/>
      <c r="B1857" s="2"/>
      <c r="C1857" s="2"/>
      <c r="D1857" s="2"/>
      <c r="E1857" s="2"/>
      <c r="F1857" s="2"/>
      <c r="G1857" s="2"/>
      <c r="H1857" s="2"/>
      <c r="I1857" s="2"/>
    </row>
    <row r="1858" spans="1:9">
      <c r="A1858" s="2"/>
      <c r="B1858" s="2"/>
      <c r="C1858" s="2"/>
      <c r="D1858" s="2"/>
      <c r="E1858" s="2"/>
      <c r="F1858" s="2"/>
      <c r="G1858" s="2"/>
      <c r="H1858" s="2"/>
      <c r="I1858" s="2"/>
    </row>
    <row r="1859" spans="1:9">
      <c r="A1859" s="3"/>
      <c r="B1859" s="3"/>
      <c r="C1859" s="3"/>
      <c r="D1859" s="3"/>
      <c r="E1859" s="3"/>
      <c r="F1859" s="3"/>
      <c r="G1859" s="3"/>
      <c r="H1859" s="3"/>
      <c r="I1859" s="3"/>
    </row>
    <row r="1861" spans="1:9">
      <c r="A1861" s="4"/>
      <c r="B1861" s="4"/>
      <c r="C1861" s="4"/>
      <c r="D1861" s="4"/>
      <c r="E1861" s="4"/>
      <c r="F1861" s="4"/>
      <c r="G1861" s="4"/>
      <c r="H1861" s="4"/>
      <c r="I1861" s="4"/>
    </row>
    <row r="1862" spans="1:9">
      <c r="A1862" s="1"/>
    </row>
    <row r="1863" spans="1:9">
      <c r="A1863" s="2"/>
      <c r="B1863" s="2"/>
      <c r="C1863" s="2"/>
      <c r="D1863" s="2"/>
      <c r="E1863" s="2"/>
      <c r="F1863" s="2"/>
      <c r="G1863" s="2"/>
      <c r="H1863" s="2"/>
      <c r="I1863" s="2"/>
    </row>
    <row r="1864" spans="1:9">
      <c r="A1864" s="2"/>
      <c r="B1864" s="2"/>
      <c r="C1864" s="2"/>
      <c r="D1864" s="2"/>
      <c r="E1864" s="2"/>
      <c r="F1864" s="2"/>
      <c r="G1864" s="2"/>
      <c r="H1864" s="2"/>
      <c r="I1864" s="2"/>
    </row>
    <row r="1865" spans="1:9">
      <c r="A1865" s="2"/>
      <c r="B1865" s="2"/>
      <c r="C1865" s="2"/>
      <c r="D1865" s="2"/>
      <c r="E1865" s="2"/>
      <c r="F1865" s="2"/>
      <c r="G1865" s="2"/>
      <c r="H1865" s="2"/>
      <c r="I1865" s="2"/>
    </row>
    <row r="1866" spans="1:9">
      <c r="A1866" s="2"/>
      <c r="B1866" s="2"/>
      <c r="C1866" s="2"/>
      <c r="D1866" s="2"/>
      <c r="E1866" s="2"/>
      <c r="F1866" s="2"/>
      <c r="G1866" s="2"/>
      <c r="H1866" s="2"/>
      <c r="I1866" s="2"/>
    </row>
    <row r="1867" spans="1:9">
      <c r="A1867" s="2"/>
      <c r="B1867" s="2"/>
      <c r="C1867" s="2"/>
      <c r="D1867" s="2"/>
      <c r="E1867" s="2"/>
      <c r="F1867" s="2"/>
      <c r="G1867" s="2"/>
      <c r="H1867" s="2"/>
      <c r="I1867" s="2"/>
    </row>
    <row r="1868" spans="1:9">
      <c r="A1868" s="2"/>
      <c r="B1868" s="2"/>
      <c r="C1868" s="2"/>
      <c r="D1868" s="2"/>
      <c r="E1868" s="2"/>
      <c r="F1868" s="2"/>
      <c r="G1868" s="2"/>
      <c r="H1868" s="2"/>
      <c r="I1868" s="2"/>
    </row>
    <row r="1869" spans="1:9">
      <c r="A1869" s="3"/>
      <c r="B1869" s="3"/>
      <c r="C1869" s="3"/>
      <c r="D1869" s="3"/>
      <c r="E1869" s="3"/>
      <c r="F1869" s="3"/>
      <c r="G1869" s="3"/>
      <c r="H1869" s="3"/>
      <c r="I1869" s="3"/>
    </row>
    <row r="1871" spans="1:9">
      <c r="A1871" s="4"/>
      <c r="B1871" s="4"/>
      <c r="C1871" s="4"/>
      <c r="D1871" s="4"/>
      <c r="E1871" s="4"/>
      <c r="F1871" s="4"/>
      <c r="G1871" s="4"/>
      <c r="H1871" s="4"/>
      <c r="I1871" s="4"/>
    </row>
    <row r="1872" spans="1:9">
      <c r="A1872" s="1"/>
    </row>
    <row r="1873" spans="1:9">
      <c r="A1873" s="2"/>
      <c r="B1873" s="2"/>
      <c r="C1873" s="2"/>
      <c r="D1873" s="2"/>
      <c r="E1873" s="2"/>
      <c r="F1873" s="2"/>
      <c r="G1873" s="2"/>
      <c r="H1873" s="2"/>
      <c r="I1873" s="2"/>
    </row>
    <row r="1874" spans="1:9">
      <c r="A1874" s="2"/>
      <c r="B1874" s="2"/>
      <c r="C1874" s="2"/>
      <c r="D1874" s="2"/>
      <c r="E1874" s="2"/>
      <c r="F1874" s="2"/>
      <c r="G1874" s="2"/>
      <c r="H1874" s="2"/>
      <c r="I1874" s="2"/>
    </row>
    <row r="1875" spans="1:9">
      <c r="A1875" s="2"/>
      <c r="B1875" s="2"/>
      <c r="C1875" s="2"/>
      <c r="D1875" s="2"/>
      <c r="E1875" s="2"/>
      <c r="F1875" s="2"/>
      <c r="G1875" s="2"/>
      <c r="H1875" s="2"/>
      <c r="I1875" s="2"/>
    </row>
    <row r="1876" spans="1:9">
      <c r="A1876" s="2"/>
      <c r="B1876" s="2"/>
      <c r="C1876" s="2"/>
      <c r="D1876" s="2"/>
      <c r="E1876" s="2"/>
      <c r="F1876" s="2"/>
      <c r="G1876" s="2"/>
      <c r="H1876" s="2"/>
      <c r="I1876" s="2"/>
    </row>
    <row r="1877" spans="1:9">
      <c r="A1877" s="2"/>
      <c r="B1877" s="2"/>
      <c r="C1877" s="2"/>
      <c r="D1877" s="2"/>
      <c r="E1877" s="2"/>
      <c r="F1877" s="2"/>
      <c r="G1877" s="2"/>
      <c r="H1877" s="2"/>
      <c r="I1877" s="2"/>
    </row>
    <row r="1878" spans="1:9">
      <c r="A1878" s="2"/>
      <c r="B1878" s="2"/>
      <c r="C1878" s="2"/>
      <c r="D1878" s="2"/>
      <c r="E1878" s="2"/>
      <c r="F1878" s="2"/>
      <c r="G1878" s="2"/>
      <c r="H1878" s="2"/>
      <c r="I1878" s="2"/>
    </row>
    <row r="1880" spans="1:9">
      <c r="A1880" s="4"/>
      <c r="B1880" s="4"/>
      <c r="C1880" s="4"/>
      <c r="D1880" s="4"/>
      <c r="E1880" s="4"/>
      <c r="F1880" s="4"/>
      <c r="G1880" s="4"/>
      <c r="H1880" s="4"/>
      <c r="I1880" s="4"/>
    </row>
    <row r="1881" spans="1:9">
      <c r="A1881" s="4"/>
      <c r="B1881" s="4"/>
      <c r="C1881" s="4"/>
      <c r="D1881" s="4"/>
      <c r="E1881" s="4"/>
      <c r="F1881" s="4"/>
      <c r="G1881" s="4"/>
      <c r="H1881" s="4"/>
      <c r="I1881" s="4"/>
    </row>
    <row r="1882" spans="1:9">
      <c r="A1882" s="1"/>
    </row>
    <row r="1883" spans="1:9">
      <c r="A1883" s="2"/>
      <c r="B1883" s="2"/>
      <c r="C1883" s="2"/>
      <c r="D1883" s="2"/>
      <c r="E1883" s="2"/>
      <c r="F1883" s="2"/>
      <c r="G1883" s="2"/>
      <c r="H1883" s="2"/>
      <c r="I1883" s="2"/>
    </row>
    <row r="1884" spans="1:9">
      <c r="A1884" s="2"/>
      <c r="B1884" s="2"/>
      <c r="C1884" s="2"/>
      <c r="D1884" s="2"/>
      <c r="E1884" s="2"/>
      <c r="F1884" s="2"/>
      <c r="G1884" s="2"/>
      <c r="H1884" s="2"/>
      <c r="I1884" s="2"/>
    </row>
    <row r="1885" spans="1:9">
      <c r="A1885" s="2"/>
      <c r="B1885" s="2"/>
      <c r="C1885" s="2"/>
      <c r="D1885" s="2"/>
      <c r="E1885" s="2"/>
      <c r="F1885" s="2"/>
      <c r="G1885" s="2"/>
      <c r="H1885" s="2"/>
      <c r="I1885" s="2"/>
    </row>
    <row r="1886" spans="1:9">
      <c r="A1886" s="2"/>
      <c r="B1886" s="2"/>
      <c r="C1886" s="2"/>
      <c r="D1886" s="2"/>
      <c r="E1886" s="2"/>
      <c r="F1886" s="2"/>
      <c r="G1886" s="2"/>
      <c r="H1886" s="2"/>
      <c r="I1886" s="2"/>
    </row>
    <row r="1887" spans="1:9">
      <c r="A1887" s="2"/>
      <c r="B1887" s="2"/>
      <c r="C1887" s="2"/>
      <c r="D1887" s="2"/>
      <c r="E1887" s="2"/>
      <c r="F1887" s="2"/>
      <c r="G1887" s="2"/>
      <c r="H1887" s="2"/>
      <c r="I1887" s="2"/>
    </row>
    <row r="1888" spans="1:9">
      <c r="A1888" s="2"/>
      <c r="B1888" s="2"/>
      <c r="C1888" s="2"/>
      <c r="D1888" s="2"/>
      <c r="E1888" s="2"/>
      <c r="F1888" s="2"/>
      <c r="G1888" s="2"/>
      <c r="H1888" s="2"/>
      <c r="I1888" s="2"/>
    </row>
    <row r="1889" spans="1:9">
      <c r="A1889" s="3"/>
      <c r="B1889" s="3"/>
      <c r="C1889" s="3"/>
      <c r="D1889" s="3"/>
      <c r="E1889" s="3"/>
      <c r="F1889" s="3"/>
      <c r="G1889" s="3"/>
      <c r="H1889" s="3"/>
      <c r="I1889" s="3"/>
    </row>
    <row r="1891" spans="1:9">
      <c r="A1891" s="4"/>
      <c r="B1891" s="4"/>
      <c r="C1891" s="4"/>
      <c r="D1891" s="4"/>
      <c r="E1891" s="4"/>
      <c r="F1891" s="4"/>
      <c r="G1891" s="4"/>
      <c r="H1891" s="4"/>
      <c r="I1891" s="4"/>
    </row>
    <row r="1892" spans="1:9">
      <c r="A1892" s="1"/>
    </row>
    <row r="1893" spans="1:9">
      <c r="A1893" s="2"/>
      <c r="B1893" s="2"/>
      <c r="C1893" s="2"/>
      <c r="D1893" s="2"/>
      <c r="E1893" s="2"/>
      <c r="F1893" s="2"/>
      <c r="G1893" s="2"/>
      <c r="H1893" s="2"/>
      <c r="I1893" s="2"/>
    </row>
    <row r="1894" spans="1:9">
      <c r="A1894" s="2"/>
      <c r="B1894" s="2"/>
      <c r="C1894" s="2"/>
      <c r="D1894" s="2"/>
      <c r="E1894" s="2"/>
      <c r="F1894" s="2"/>
      <c r="G1894" s="2"/>
      <c r="H1894" s="2"/>
      <c r="I1894" s="2"/>
    </row>
    <row r="1895" spans="1:9">
      <c r="A1895" s="2"/>
      <c r="B1895" s="2"/>
      <c r="C1895" s="2"/>
      <c r="D1895" s="2"/>
      <c r="E1895" s="2"/>
      <c r="F1895" s="2"/>
      <c r="G1895" s="2"/>
      <c r="H1895" s="2"/>
      <c r="I1895" s="2"/>
    </row>
    <row r="1896" spans="1:9">
      <c r="A1896" s="2"/>
      <c r="B1896" s="2"/>
      <c r="C1896" s="2"/>
      <c r="D1896" s="2"/>
      <c r="E1896" s="2"/>
      <c r="F1896" s="2"/>
      <c r="G1896" s="2"/>
      <c r="H1896" s="2"/>
      <c r="I1896" s="2"/>
    </row>
    <row r="1897" spans="1:9">
      <c r="A1897" s="2"/>
      <c r="B1897" s="2"/>
      <c r="C1897" s="2"/>
      <c r="D1897" s="2"/>
      <c r="E1897" s="2"/>
      <c r="F1897" s="2"/>
      <c r="G1897" s="2"/>
      <c r="H1897" s="2"/>
      <c r="I1897" s="2"/>
    </row>
    <row r="1898" spans="1:9">
      <c r="A1898" s="2"/>
      <c r="B1898" s="2"/>
      <c r="C1898" s="2"/>
      <c r="D1898" s="2"/>
      <c r="E1898" s="2"/>
      <c r="F1898" s="2"/>
      <c r="G1898" s="2"/>
      <c r="H1898" s="2"/>
      <c r="I1898" s="2"/>
    </row>
    <row r="1899" spans="1:9">
      <c r="A1899" s="3"/>
      <c r="B1899" s="3"/>
      <c r="C1899" s="3"/>
      <c r="D1899" s="3"/>
      <c r="E1899" s="3"/>
      <c r="F1899" s="3"/>
      <c r="G1899" s="3"/>
      <c r="H1899" s="3"/>
      <c r="I1899" s="3"/>
    </row>
    <row r="1901" spans="1:9">
      <c r="A1901" s="4"/>
      <c r="B1901" s="4"/>
      <c r="C1901" s="4"/>
      <c r="D1901" s="4"/>
      <c r="E1901" s="4"/>
      <c r="F1901" s="4"/>
      <c r="G1901" s="4"/>
      <c r="H1901" s="4"/>
      <c r="I1901" s="4"/>
    </row>
    <row r="1902" spans="1:9">
      <c r="A1902" s="1"/>
    </row>
    <row r="1903" spans="1:9">
      <c r="A1903" s="2"/>
      <c r="B1903" s="2"/>
      <c r="C1903" s="2"/>
      <c r="D1903" s="2"/>
      <c r="E1903" s="2"/>
      <c r="F1903" s="2"/>
      <c r="G1903" s="2"/>
      <c r="H1903" s="2"/>
      <c r="I1903" s="2"/>
    </row>
    <row r="1904" spans="1:9">
      <c r="A1904" s="2"/>
      <c r="B1904" s="2"/>
      <c r="C1904" s="2"/>
      <c r="D1904" s="2"/>
      <c r="E1904" s="2"/>
      <c r="F1904" s="2"/>
      <c r="G1904" s="2"/>
      <c r="H1904" s="2"/>
      <c r="I1904" s="2"/>
    </row>
    <row r="1905" spans="1:9">
      <c r="A1905" s="2"/>
      <c r="B1905" s="2"/>
      <c r="C1905" s="2"/>
      <c r="D1905" s="2"/>
      <c r="E1905" s="2"/>
      <c r="F1905" s="2"/>
      <c r="G1905" s="2"/>
      <c r="H1905" s="2"/>
      <c r="I1905" s="2"/>
    </row>
    <row r="1906" spans="1:9">
      <c r="A1906" s="2"/>
      <c r="B1906" s="2"/>
      <c r="C1906" s="2"/>
      <c r="D1906" s="2"/>
      <c r="E1906" s="2"/>
      <c r="F1906" s="2"/>
      <c r="G1906" s="2"/>
      <c r="H1906" s="2"/>
      <c r="I1906" s="2"/>
    </row>
    <row r="1907" spans="1:9">
      <c r="A1907" s="2"/>
      <c r="B1907" s="2"/>
      <c r="C1907" s="2"/>
      <c r="D1907" s="2"/>
      <c r="E1907" s="2"/>
      <c r="F1907" s="2"/>
      <c r="G1907" s="2"/>
      <c r="H1907" s="2"/>
      <c r="I1907" s="2"/>
    </row>
    <row r="1908" spans="1:9">
      <c r="A1908" s="2"/>
      <c r="B1908" s="2"/>
      <c r="C1908" s="2"/>
      <c r="D1908" s="2"/>
      <c r="E1908" s="2"/>
      <c r="F1908" s="2"/>
      <c r="G1908" s="2"/>
      <c r="H1908" s="2"/>
      <c r="I1908" s="2"/>
    </row>
    <row r="1910" spans="1:9">
      <c r="A1910" s="4"/>
      <c r="B1910" s="4"/>
      <c r="C1910" s="4"/>
      <c r="D1910" s="4"/>
      <c r="E1910" s="4"/>
      <c r="F1910" s="4"/>
      <c r="G1910" s="4"/>
      <c r="H1910" s="4"/>
      <c r="I1910" s="4"/>
    </row>
    <row r="1911" spans="1:9">
      <c r="A1911" s="4"/>
      <c r="B1911" s="4"/>
      <c r="C1911" s="4"/>
      <c r="D1911" s="4"/>
      <c r="E1911" s="4"/>
      <c r="F1911" s="4"/>
      <c r="G1911" s="4"/>
      <c r="H1911" s="4"/>
      <c r="I1911" s="4"/>
    </row>
    <row r="1912" spans="1:9">
      <c r="A1912" s="1"/>
    </row>
    <row r="1913" spans="1:9">
      <c r="A1913" s="2"/>
      <c r="B1913" s="2"/>
      <c r="C1913" s="2"/>
      <c r="D1913" s="2"/>
      <c r="E1913" s="2"/>
      <c r="F1913" s="2"/>
      <c r="G1913" s="2"/>
      <c r="H1913" s="2"/>
      <c r="I1913" s="2"/>
    </row>
    <row r="1914" spans="1:9">
      <c r="A1914" s="2"/>
      <c r="B1914" s="2"/>
      <c r="C1914" s="2"/>
      <c r="D1914" s="2"/>
      <c r="E1914" s="2"/>
      <c r="F1914" s="2"/>
      <c r="G1914" s="2"/>
      <c r="H1914" s="2"/>
      <c r="I1914" s="2"/>
    </row>
    <row r="1915" spans="1:9">
      <c r="A1915" s="2"/>
      <c r="B1915" s="2"/>
      <c r="C1915" s="2"/>
      <c r="D1915" s="2"/>
      <c r="E1915" s="2"/>
      <c r="F1915" s="2"/>
      <c r="G1915" s="2"/>
      <c r="H1915" s="2"/>
      <c r="I1915" s="2"/>
    </row>
    <row r="1916" spans="1:9">
      <c r="A1916" s="2"/>
      <c r="B1916" s="2"/>
      <c r="C1916" s="2"/>
      <c r="D1916" s="2"/>
      <c r="E1916" s="2"/>
      <c r="F1916" s="2"/>
      <c r="G1916" s="2"/>
      <c r="H1916" s="2"/>
      <c r="I1916" s="2"/>
    </row>
    <row r="1917" spans="1:9">
      <c r="A1917" s="2"/>
      <c r="B1917" s="2"/>
      <c r="C1917" s="2"/>
      <c r="D1917" s="2"/>
      <c r="E1917" s="2"/>
      <c r="F1917" s="2"/>
      <c r="G1917" s="2"/>
      <c r="H1917" s="2"/>
      <c r="I1917" s="2"/>
    </row>
    <row r="1918" spans="1:9">
      <c r="A1918" s="2"/>
      <c r="B1918" s="2"/>
      <c r="C1918" s="2"/>
      <c r="D1918" s="2"/>
      <c r="E1918" s="2"/>
      <c r="F1918" s="2"/>
      <c r="G1918" s="2"/>
      <c r="H1918" s="2"/>
      <c r="I1918" s="2"/>
    </row>
    <row r="1919" spans="1:9">
      <c r="A1919" s="3"/>
      <c r="B1919" s="3"/>
      <c r="C1919" s="3"/>
      <c r="D1919" s="3"/>
      <c r="E1919" s="3"/>
      <c r="F1919" s="3"/>
      <c r="G1919" s="3"/>
      <c r="H1919" s="3"/>
      <c r="I1919" s="3"/>
    </row>
    <row r="1921" spans="1:9">
      <c r="A1921" s="4"/>
      <c r="B1921" s="4"/>
      <c r="C1921" s="4"/>
      <c r="D1921" s="4"/>
      <c r="E1921" s="4"/>
      <c r="F1921" s="4"/>
      <c r="G1921" s="4"/>
      <c r="H1921" s="4"/>
      <c r="I1921" s="4"/>
    </row>
    <row r="1922" spans="1:9">
      <c r="A1922" s="1"/>
    </row>
    <row r="1923" spans="1:9">
      <c r="A1923" s="2"/>
      <c r="B1923" s="2"/>
      <c r="C1923" s="2"/>
      <c r="D1923" s="2"/>
      <c r="E1923" s="2"/>
      <c r="F1923" s="2"/>
      <c r="G1923" s="2"/>
      <c r="H1923" s="2"/>
      <c r="I1923" s="2"/>
    </row>
    <row r="1924" spans="1:9">
      <c r="A1924" s="2"/>
      <c r="B1924" s="2"/>
      <c r="C1924" s="2"/>
      <c r="D1924" s="2"/>
      <c r="E1924" s="2"/>
      <c r="F1924" s="2"/>
      <c r="G1924" s="2"/>
      <c r="H1924" s="2"/>
      <c r="I1924" s="2"/>
    </row>
    <row r="1925" spans="1:9">
      <c r="A1925" s="2"/>
      <c r="B1925" s="2"/>
      <c r="C1925" s="2"/>
      <c r="D1925" s="2"/>
      <c r="E1925" s="2"/>
      <c r="F1925" s="2"/>
      <c r="G1925" s="2"/>
      <c r="H1925" s="2"/>
      <c r="I1925" s="2"/>
    </row>
    <row r="1926" spans="1:9">
      <c r="A1926" s="2"/>
      <c r="B1926" s="2"/>
      <c r="C1926" s="2"/>
      <c r="D1926" s="2"/>
      <c r="E1926" s="2"/>
      <c r="F1926" s="2"/>
      <c r="G1926" s="2"/>
      <c r="H1926" s="2"/>
      <c r="I1926" s="2"/>
    </row>
    <row r="1927" spans="1:9">
      <c r="A1927" s="2"/>
      <c r="B1927" s="2"/>
      <c r="C1927" s="2"/>
      <c r="D1927" s="2"/>
      <c r="E1927" s="2"/>
      <c r="F1927" s="2"/>
      <c r="G1927" s="2"/>
      <c r="H1927" s="2"/>
      <c r="I1927" s="2"/>
    </row>
    <row r="1928" spans="1:9">
      <c r="A1928" s="2"/>
      <c r="B1928" s="2"/>
      <c r="C1928" s="2"/>
      <c r="D1928" s="2"/>
      <c r="E1928" s="2"/>
      <c r="F1928" s="2"/>
      <c r="G1928" s="2"/>
      <c r="H1928" s="2"/>
      <c r="I1928" s="2"/>
    </row>
    <row r="1929" spans="1:9">
      <c r="A1929" s="3"/>
      <c r="B1929" s="3"/>
      <c r="C1929" s="3"/>
      <c r="D1929" s="3"/>
      <c r="E1929" s="3"/>
      <c r="F1929" s="3"/>
      <c r="G1929" s="3"/>
      <c r="H1929" s="3"/>
      <c r="I1929" s="3"/>
    </row>
    <row r="1931" spans="1:9">
      <c r="A1931" s="4"/>
      <c r="B1931" s="4"/>
      <c r="C1931" s="4"/>
      <c r="D1931" s="4"/>
      <c r="E1931" s="4"/>
      <c r="F1931" s="4"/>
      <c r="G1931" s="4"/>
      <c r="H1931" s="4"/>
      <c r="I1931" s="4"/>
    </row>
    <row r="1932" spans="1:9">
      <c r="A1932" s="1"/>
    </row>
    <row r="1933" spans="1:9">
      <c r="A1933" s="2"/>
      <c r="B1933" s="2"/>
      <c r="C1933" s="2"/>
      <c r="D1933" s="2"/>
      <c r="E1933" s="2"/>
      <c r="F1933" s="2"/>
      <c r="G1933" s="2"/>
      <c r="H1933" s="2"/>
      <c r="I1933" s="2"/>
    </row>
    <row r="1934" spans="1:9">
      <c r="A1934" s="2"/>
      <c r="B1934" s="2"/>
      <c r="C1934" s="2"/>
      <c r="D1934" s="2"/>
      <c r="E1934" s="2"/>
      <c r="F1934" s="2"/>
      <c r="G1934" s="2"/>
      <c r="H1934" s="2"/>
      <c r="I1934" s="2"/>
    </row>
    <row r="1935" spans="1:9">
      <c r="A1935" s="2"/>
      <c r="B1935" s="2"/>
      <c r="C1935" s="2"/>
      <c r="D1935" s="2"/>
      <c r="E1935" s="2"/>
      <c r="F1935" s="2"/>
      <c r="G1935" s="2"/>
      <c r="H1935" s="2"/>
      <c r="I1935" s="2"/>
    </row>
    <row r="1936" spans="1:9">
      <c r="A1936" s="2"/>
      <c r="B1936" s="2"/>
      <c r="C1936" s="2"/>
      <c r="D1936" s="2"/>
      <c r="E1936" s="2"/>
      <c r="F1936" s="2"/>
      <c r="G1936" s="2"/>
      <c r="H1936" s="2"/>
      <c r="I1936" s="2"/>
    </row>
    <row r="1937" spans="1:9">
      <c r="A1937" s="2"/>
      <c r="B1937" s="2"/>
      <c r="C1937" s="2"/>
      <c r="D1937" s="2"/>
      <c r="E1937" s="2"/>
      <c r="F1937" s="2"/>
      <c r="G1937" s="2"/>
      <c r="H1937" s="2"/>
      <c r="I1937" s="2"/>
    </row>
    <row r="1938" spans="1:9">
      <c r="A1938" s="2"/>
      <c r="B1938" s="2"/>
      <c r="C1938" s="2"/>
      <c r="D1938" s="2"/>
      <c r="E1938" s="2"/>
      <c r="F1938" s="2"/>
      <c r="G1938" s="2"/>
      <c r="H1938" s="2"/>
      <c r="I1938" s="2"/>
    </row>
    <row r="1940" spans="1:9">
      <c r="A1940" s="4"/>
      <c r="B1940" s="4"/>
      <c r="C1940" s="4"/>
      <c r="D1940" s="4"/>
      <c r="E1940" s="4"/>
      <c r="F1940" s="4"/>
      <c r="G1940" s="4"/>
      <c r="H1940" s="4"/>
      <c r="I1940" s="4"/>
    </row>
    <row r="1941" spans="1:9">
      <c r="A1941" s="4"/>
      <c r="B1941" s="4"/>
      <c r="C1941" s="4"/>
      <c r="D1941" s="4"/>
      <c r="E1941" s="4"/>
      <c r="F1941" s="4"/>
      <c r="G1941" s="4"/>
      <c r="H1941" s="4"/>
      <c r="I1941" s="4"/>
    </row>
    <row r="1942" spans="1:9">
      <c r="A1942" s="1"/>
    </row>
    <row r="1943" spans="1:9">
      <c r="A1943" s="2"/>
      <c r="B1943" s="2"/>
      <c r="C1943" s="2"/>
      <c r="D1943" s="2"/>
      <c r="E1943" s="2"/>
      <c r="F1943" s="2"/>
      <c r="G1943" s="2"/>
      <c r="H1943" s="2"/>
      <c r="I1943" s="2"/>
    </row>
    <row r="1944" spans="1:9">
      <c r="A1944" s="2"/>
      <c r="B1944" s="2"/>
      <c r="C1944" s="2"/>
      <c r="D1944" s="2"/>
      <c r="E1944" s="2"/>
      <c r="F1944" s="2"/>
      <c r="G1944" s="2"/>
      <c r="H1944" s="2"/>
      <c r="I1944" s="2"/>
    </row>
    <row r="1945" spans="1:9">
      <c r="A1945" s="2"/>
      <c r="B1945" s="2"/>
      <c r="C1945" s="2"/>
      <c r="D1945" s="2"/>
      <c r="E1945" s="2"/>
      <c r="F1945" s="2"/>
      <c r="G1945" s="2"/>
      <c r="H1945" s="2"/>
      <c r="I1945" s="2"/>
    </row>
    <row r="1946" spans="1:9">
      <c r="A1946" s="2"/>
      <c r="B1946" s="2"/>
      <c r="C1946" s="2"/>
      <c r="D1946" s="2"/>
      <c r="E1946" s="2"/>
      <c r="F1946" s="2"/>
      <c r="G1946" s="2"/>
      <c r="H1946" s="2"/>
      <c r="I1946" s="2"/>
    </row>
    <row r="1947" spans="1:9">
      <c r="A1947" s="2"/>
      <c r="B1947" s="2"/>
      <c r="C1947" s="2"/>
      <c r="D1947" s="2"/>
      <c r="E1947" s="2"/>
      <c r="F1947" s="2"/>
      <c r="G1947" s="2"/>
      <c r="H1947" s="2"/>
      <c r="I1947" s="2"/>
    </row>
    <row r="1948" spans="1:9">
      <c r="A1948" s="2"/>
      <c r="B1948" s="2"/>
      <c r="C1948" s="2"/>
      <c r="D1948" s="2"/>
      <c r="E1948" s="2"/>
      <c r="F1948" s="2"/>
      <c r="G1948" s="2"/>
      <c r="H1948" s="2"/>
      <c r="I1948" s="2"/>
    </row>
    <row r="1949" spans="1:9">
      <c r="A1949" s="3"/>
      <c r="B1949" s="3"/>
      <c r="C1949" s="3"/>
      <c r="D1949" s="3"/>
      <c r="E1949" s="3"/>
      <c r="F1949" s="3"/>
      <c r="G1949" s="3"/>
      <c r="H1949" s="3"/>
      <c r="I1949" s="3"/>
    </row>
    <row r="1951" spans="1:9">
      <c r="A1951" s="4"/>
      <c r="B1951" s="4"/>
      <c r="C1951" s="4"/>
      <c r="D1951" s="4"/>
      <c r="E1951" s="4"/>
      <c r="F1951" s="4"/>
      <c r="G1951" s="4"/>
      <c r="H1951" s="4"/>
      <c r="I1951" s="4"/>
    </row>
    <row r="1952" spans="1:9">
      <c r="A1952" s="1"/>
    </row>
    <row r="1953" spans="1:9">
      <c r="A1953" s="2"/>
      <c r="B1953" s="2"/>
      <c r="C1953" s="2"/>
      <c r="D1953" s="2"/>
      <c r="E1953" s="2"/>
      <c r="F1953" s="2"/>
      <c r="G1953" s="2"/>
      <c r="H1953" s="2"/>
      <c r="I1953" s="2"/>
    </row>
    <row r="1954" spans="1:9">
      <c r="A1954" s="2"/>
      <c r="B1954" s="2"/>
      <c r="C1954" s="2"/>
      <c r="D1954" s="2"/>
      <c r="E1954" s="2"/>
      <c r="F1954" s="2"/>
      <c r="G1954" s="2"/>
      <c r="H1954" s="2"/>
      <c r="I1954" s="2"/>
    </row>
    <row r="1955" spans="1:9">
      <c r="A1955" s="2"/>
      <c r="B1955" s="2"/>
      <c r="C1955" s="2"/>
      <c r="D1955" s="2"/>
      <c r="E1955" s="2"/>
      <c r="F1955" s="2"/>
      <c r="G1955" s="2"/>
      <c r="H1955" s="2"/>
      <c r="I1955" s="2"/>
    </row>
    <row r="1956" spans="1:9">
      <c r="A1956" s="2"/>
      <c r="B1956" s="2"/>
      <c r="C1956" s="2"/>
      <c r="D1956" s="2"/>
      <c r="E1956" s="2"/>
      <c r="F1956" s="2"/>
      <c r="G1956" s="2"/>
      <c r="H1956" s="2"/>
      <c r="I1956" s="2"/>
    </row>
    <row r="1957" spans="1:9">
      <c r="A1957" s="2"/>
      <c r="B1957" s="2"/>
      <c r="C1957" s="2"/>
      <c r="D1957" s="2"/>
      <c r="E1957" s="2"/>
      <c r="F1957" s="2"/>
      <c r="G1957" s="2"/>
      <c r="H1957" s="2"/>
      <c r="I1957" s="2"/>
    </row>
    <row r="1958" spans="1:9">
      <c r="A1958" s="2"/>
      <c r="B1958" s="2"/>
      <c r="C1958" s="2"/>
      <c r="D1958" s="2"/>
      <c r="E1958" s="2"/>
      <c r="F1958" s="2"/>
      <c r="G1958" s="2"/>
      <c r="H1958" s="2"/>
      <c r="I1958" s="2"/>
    </row>
    <row r="1959" spans="1:9">
      <c r="A1959" s="3"/>
      <c r="B1959" s="3"/>
      <c r="C1959" s="3"/>
      <c r="D1959" s="3"/>
      <c r="E1959" s="3"/>
      <c r="F1959" s="3"/>
      <c r="G1959" s="3"/>
      <c r="H1959" s="3"/>
      <c r="I1959" s="3"/>
    </row>
    <row r="1961" spans="1:9">
      <c r="A1961" s="4"/>
      <c r="B1961" s="4"/>
      <c r="C1961" s="4"/>
      <c r="D1961" s="4"/>
      <c r="E1961" s="4"/>
      <c r="F1961" s="4"/>
      <c r="G1961" s="4"/>
      <c r="H1961" s="4"/>
      <c r="I1961" s="4"/>
    </row>
    <row r="1962" spans="1:9">
      <c r="A1962" s="1"/>
    </row>
    <row r="1963" spans="1:9">
      <c r="A1963" s="2"/>
      <c r="B1963" s="2"/>
      <c r="C1963" s="2"/>
      <c r="D1963" s="2"/>
      <c r="E1963" s="2"/>
      <c r="F1963" s="2"/>
      <c r="G1963" s="2"/>
      <c r="H1963" s="2"/>
      <c r="I1963" s="2"/>
    </row>
    <row r="1964" spans="1:9">
      <c r="A1964" s="2"/>
      <c r="B1964" s="2"/>
      <c r="C1964" s="2"/>
      <c r="D1964" s="2"/>
      <c r="E1964" s="2"/>
      <c r="F1964" s="2"/>
      <c r="G1964" s="2"/>
      <c r="H1964" s="2"/>
      <c r="I1964" s="2"/>
    </row>
    <row r="1965" spans="1:9">
      <c r="A1965" s="2"/>
      <c r="B1965" s="2"/>
      <c r="C1965" s="2"/>
      <c r="D1965" s="2"/>
      <c r="E1965" s="2"/>
      <c r="F1965" s="2"/>
      <c r="G1965" s="2"/>
      <c r="H1965" s="2"/>
      <c r="I1965" s="2"/>
    </row>
    <row r="1966" spans="1:9">
      <c r="A1966" s="2"/>
      <c r="B1966" s="2"/>
      <c r="C1966" s="2"/>
      <c r="D1966" s="2"/>
      <c r="E1966" s="2"/>
      <c r="F1966" s="2"/>
      <c r="G1966" s="2"/>
      <c r="H1966" s="2"/>
      <c r="I1966" s="2"/>
    </row>
    <row r="1967" spans="1:9">
      <c r="A1967" s="2"/>
      <c r="B1967" s="2"/>
      <c r="C1967" s="2"/>
      <c r="D1967" s="2"/>
      <c r="E1967" s="2"/>
      <c r="F1967" s="2"/>
      <c r="G1967" s="2"/>
      <c r="H1967" s="2"/>
      <c r="I1967" s="2"/>
    </row>
    <row r="1968" spans="1:9">
      <c r="A1968" s="2"/>
      <c r="B1968" s="2"/>
      <c r="C1968" s="2"/>
      <c r="D1968" s="2"/>
      <c r="E1968" s="2"/>
      <c r="F1968" s="2"/>
      <c r="G1968" s="2"/>
      <c r="H1968" s="2"/>
      <c r="I1968" s="2"/>
    </row>
    <row r="1970" spans="1:9">
      <c r="A1970" s="4"/>
      <c r="B1970" s="4"/>
      <c r="C1970" s="4"/>
      <c r="D1970" s="4"/>
      <c r="E1970" s="4"/>
      <c r="F1970" s="4"/>
      <c r="G1970" s="4"/>
      <c r="H1970" s="4"/>
      <c r="I1970" s="4"/>
    </row>
    <row r="1971" spans="1:9">
      <c r="A1971" s="4"/>
      <c r="B1971" s="4"/>
      <c r="C1971" s="4"/>
      <c r="D1971" s="4"/>
      <c r="E1971" s="4"/>
      <c r="F1971" s="4"/>
      <c r="G1971" s="4"/>
      <c r="H1971" s="4"/>
      <c r="I1971" s="4"/>
    </row>
    <row r="1972" spans="1:9">
      <c r="A1972" s="1"/>
    </row>
    <row r="1973" spans="1:9">
      <c r="A1973" s="2"/>
      <c r="B1973" s="2"/>
      <c r="C1973" s="2"/>
      <c r="D1973" s="2"/>
      <c r="E1973" s="2"/>
      <c r="F1973" s="2"/>
      <c r="G1973" s="2"/>
      <c r="H1973" s="2"/>
      <c r="I1973" s="2"/>
    </row>
    <row r="1974" spans="1:9">
      <c r="A1974" s="2"/>
      <c r="B1974" s="2"/>
      <c r="C1974" s="2"/>
      <c r="D1974" s="2"/>
      <c r="E1974" s="2"/>
      <c r="F1974" s="2"/>
      <c r="G1974" s="2"/>
      <c r="H1974" s="2"/>
      <c r="I1974" s="2"/>
    </row>
    <row r="1975" spans="1:9">
      <c r="A1975" s="2"/>
      <c r="B1975" s="2"/>
      <c r="C1975" s="2"/>
      <c r="D1975" s="2"/>
      <c r="E1975" s="2"/>
      <c r="F1975" s="2"/>
      <c r="G1975" s="2"/>
      <c r="H1975" s="2"/>
      <c r="I1975" s="2"/>
    </row>
    <row r="1976" spans="1:9">
      <c r="A1976" s="2"/>
      <c r="B1976" s="2"/>
      <c r="C1976" s="2"/>
      <c r="D1976" s="2"/>
      <c r="E1976" s="2"/>
      <c r="F1976" s="2"/>
      <c r="G1976" s="2"/>
      <c r="H1976" s="2"/>
      <c r="I1976" s="2"/>
    </row>
    <row r="1977" spans="1:9">
      <c r="A1977" s="2"/>
      <c r="B1977" s="2"/>
      <c r="C1977" s="2"/>
      <c r="D1977" s="2"/>
      <c r="E1977" s="2"/>
      <c r="F1977" s="2"/>
      <c r="G1977" s="2"/>
      <c r="H1977" s="2"/>
      <c r="I1977" s="2"/>
    </row>
    <row r="1978" spans="1:9">
      <c r="A1978" s="2"/>
      <c r="B1978" s="2"/>
      <c r="C1978" s="2"/>
      <c r="D1978" s="2"/>
      <c r="E1978" s="2"/>
      <c r="F1978" s="2"/>
      <c r="G1978" s="2"/>
      <c r="H1978" s="2"/>
      <c r="I1978" s="2"/>
    </row>
    <row r="1979" spans="1:9">
      <c r="A1979" s="3"/>
      <c r="B1979" s="3"/>
      <c r="C1979" s="3"/>
      <c r="D1979" s="3"/>
      <c r="E1979" s="3"/>
      <c r="F1979" s="3"/>
      <c r="G1979" s="3"/>
      <c r="H1979" s="3"/>
      <c r="I1979" s="3"/>
    </row>
    <row r="1981" spans="1:9">
      <c r="A1981" s="4"/>
      <c r="B1981" s="4"/>
      <c r="C1981" s="4"/>
      <c r="D1981" s="4"/>
      <c r="E1981" s="4"/>
      <c r="F1981" s="4"/>
      <c r="G1981" s="4"/>
      <c r="H1981" s="4"/>
      <c r="I1981" s="4"/>
    </row>
    <row r="1982" spans="1:9">
      <c r="A1982" s="1"/>
    </row>
    <row r="1983" spans="1:9">
      <c r="A1983" s="2"/>
      <c r="B1983" s="2"/>
      <c r="C1983" s="2"/>
      <c r="D1983" s="2"/>
      <c r="E1983" s="2"/>
      <c r="F1983" s="2"/>
      <c r="G1983" s="2"/>
      <c r="H1983" s="2"/>
      <c r="I1983" s="2"/>
    </row>
    <row r="1984" spans="1:9">
      <c r="A1984" s="2"/>
      <c r="B1984" s="2"/>
      <c r="C1984" s="2"/>
      <c r="D1984" s="2"/>
      <c r="E1984" s="2"/>
      <c r="F1984" s="2"/>
      <c r="G1984" s="2"/>
      <c r="H1984" s="2"/>
      <c r="I1984" s="2"/>
    </row>
    <row r="1985" spans="1:9">
      <c r="A1985" s="2"/>
      <c r="B1985" s="2"/>
      <c r="C1985" s="2"/>
      <c r="D1985" s="2"/>
      <c r="E1985" s="2"/>
      <c r="F1985" s="2"/>
      <c r="G1985" s="2"/>
      <c r="H1985" s="2"/>
      <c r="I1985" s="2"/>
    </row>
    <row r="1986" spans="1:9">
      <c r="A1986" s="2"/>
      <c r="B1986" s="2"/>
      <c r="C1986" s="2"/>
      <c r="D1986" s="2"/>
      <c r="E1986" s="2"/>
      <c r="F1986" s="2"/>
      <c r="G1986" s="2"/>
      <c r="H1986" s="2"/>
      <c r="I1986" s="2"/>
    </row>
    <row r="1987" spans="1:9">
      <c r="A1987" s="2"/>
      <c r="B1987" s="2"/>
      <c r="C1987" s="2"/>
      <c r="D1987" s="2"/>
      <c r="E1987" s="2"/>
      <c r="F1987" s="2"/>
      <c r="G1987" s="2"/>
      <c r="H1987" s="2"/>
      <c r="I1987" s="2"/>
    </row>
    <row r="1988" spans="1:9">
      <c r="A1988" s="2"/>
      <c r="B1988" s="2"/>
      <c r="C1988" s="2"/>
      <c r="D1988" s="2"/>
      <c r="E1988" s="2"/>
      <c r="F1988" s="2"/>
      <c r="G1988" s="2"/>
      <c r="H1988" s="2"/>
      <c r="I1988" s="2"/>
    </row>
    <row r="1989" spans="1:9">
      <c r="A1989" s="3"/>
      <c r="B1989" s="3"/>
      <c r="C1989" s="3"/>
      <c r="D1989" s="3"/>
      <c r="E1989" s="3"/>
      <c r="F1989" s="3"/>
      <c r="G1989" s="3"/>
      <c r="H1989" s="3"/>
      <c r="I1989" s="3"/>
    </row>
    <row r="1991" spans="1:9">
      <c r="A1991" s="4"/>
      <c r="B1991" s="4"/>
      <c r="C1991" s="4"/>
      <c r="D1991" s="4"/>
      <c r="E1991" s="4"/>
      <c r="F1991" s="4"/>
      <c r="G1991" s="4"/>
      <c r="H1991" s="4"/>
      <c r="I1991" s="4"/>
    </row>
    <row r="1992" spans="1:9">
      <c r="A1992" s="1"/>
    </row>
    <row r="1993" spans="1:9">
      <c r="A1993" s="2"/>
      <c r="B1993" s="2"/>
      <c r="C1993" s="2"/>
      <c r="D1993" s="2"/>
      <c r="E1993" s="2"/>
      <c r="F1993" s="2"/>
      <c r="G1993" s="2"/>
      <c r="H1993" s="2"/>
      <c r="I1993" s="2"/>
    </row>
    <row r="1994" spans="1:9">
      <c r="A1994" s="2"/>
      <c r="B1994" s="2"/>
      <c r="C1994" s="2"/>
      <c r="D1994" s="2"/>
      <c r="E1994" s="2"/>
      <c r="F1994" s="2"/>
      <c r="G1994" s="2"/>
      <c r="H1994" s="2"/>
      <c r="I1994" s="2"/>
    </row>
  </sheetData>
  <mergeCells count="1">
    <mergeCell ref="A1:I1"/>
  </mergeCells>
  <phoneticPr fontId="9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1</vt:i4>
      </vt:variant>
    </vt:vector>
  </HeadingPairs>
  <TitlesOfParts>
    <vt:vector size="11" baseType="lpstr">
      <vt:lpstr>小学组</vt:lpstr>
      <vt:lpstr>初中组</vt:lpstr>
      <vt:lpstr>高中组</vt:lpstr>
      <vt:lpstr>代表队名单</vt:lpstr>
      <vt:lpstr>报名汇总表</vt:lpstr>
      <vt:lpstr>径赛分道</vt:lpstr>
      <vt:lpstr>竞赛日程</vt:lpstr>
      <vt:lpstr>日程细目</vt:lpstr>
      <vt:lpstr>代表队报表</vt:lpstr>
      <vt:lpstr>检录表</vt:lpstr>
      <vt:lpstr>高中组!Print_Area</vt:lpstr>
    </vt:vector>
  </TitlesOfParts>
  <Company>WwW.YlmF.CoM</Company>
  <LinksUpToDate>false</LinksUpToDate>
  <CharactersWithSpaces>0</CharactersWithSpaces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雨林木风</dc:creator>
  <cp:lastModifiedBy>微软用户</cp:lastModifiedBy>
  <cp:revision/>
  <cp:lastPrinted>2009-09-07T05:09:13Z</cp:lastPrinted>
  <dcterms:created xsi:type="dcterms:W3CDTF">2009-09-04T03:01:39Z</dcterms:created>
  <dcterms:modified xsi:type="dcterms:W3CDTF">2022-10-10T00:21:48Z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2052-9.1.0.4249</vt:lpwstr>
  </property>
</Properties>
</file>